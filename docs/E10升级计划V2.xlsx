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E10升级计划" sheetId="2" r:id="rId1"/>
    <sheet name="功能数据总览" sheetId="3" r:id="rId2"/>
    <sheet name="开发功能总览" sheetId="4" r:id="rId3"/>
  </sheets>
  <definedNames>
    <definedName name="_xlnm._FilterDatabase" localSheetId="0" hidden="1">E10升级计划!$A$1:$H$56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wjhccc</author>
  </authors>
  <commentList>
    <comment ref="A5" authorId="0">
      <text>
        <r>
          <rPr>
            <b/>
            <sz val="9"/>
            <rFont val="宋体"/>
            <charset val="134"/>
          </rPr>
          <t>wjhccc:sql中涉及表大于5张表</t>
        </r>
      </text>
    </comment>
    <comment ref="A12" authorId="0">
      <text>
        <r>
          <rPr>
            <b/>
            <sz val="9"/>
            <rFont val="宋体"/>
            <charset val="134"/>
          </rPr>
          <t>wjhccc:</t>
        </r>
        <r>
          <rPr>
            <sz val="9"/>
            <rFont val="宋体"/>
            <charset val="134"/>
          </rPr>
          <t xml:space="preserve">
sql中涉及表大于5张表
</t>
        </r>
      </text>
    </comment>
  </commentList>
</comments>
</file>

<file path=xl/sharedStrings.xml><?xml version="1.0" encoding="utf-8"?>
<sst xmlns="http://schemas.openxmlformats.org/spreadsheetml/2006/main" count="535" uniqueCount="277">
  <si>
    <t>阶段</t>
  </si>
  <si>
    <t>工作类</t>
  </si>
  <si>
    <t>工作项</t>
  </si>
  <si>
    <t>主责任人</t>
  </si>
  <si>
    <t>执行人员</t>
  </si>
  <si>
    <t>计划时间</t>
  </si>
  <si>
    <t>完成日期</t>
  </si>
  <si>
    <t>工时</t>
  </si>
  <si>
    <t>备注</t>
  </si>
  <si>
    <t>第1月(1-31)</t>
  </si>
  <si>
    <t>第2月(1-28)</t>
  </si>
  <si>
    <t>第3月(1-31)</t>
  </si>
  <si>
    <t>第4月(1-30)</t>
  </si>
  <si>
    <t>第5月(1-31)</t>
  </si>
  <si>
    <t>第6月(1-30)</t>
  </si>
  <si>
    <t>第7月(1-31)</t>
  </si>
  <si>
    <t>第8月(1-31)</t>
  </si>
  <si>
    <t>第9月(1-30)</t>
  </si>
  <si>
    <t>第10月(1-31)</t>
  </si>
  <si>
    <t>第11月(1-30)</t>
  </si>
  <si>
    <t>第12月(1-31)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</si>
  <si>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</si>
  <si>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</si>
  <si>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</si>
  <si>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</si>
  <si>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</si>
  <si>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</si>
  <si>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</si>
  <si>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</si>
  <si>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</si>
  <si>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</si>
  <si>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</si>
  <si>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</si>
  <si>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</si>
  <si>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</si>
  <si>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</si>
  <si>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</si>
  <si>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</si>
  <si>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</si>
  <si>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</si>
  <si>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</si>
  <si>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</si>
  <si>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</si>
  <si>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</si>
  <si>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</si>
  <si>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</si>
  <si>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</si>
  <si>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</si>
  <si>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</si>
  <si>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</si>
  <si>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</si>
  <si>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</si>
  <si>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</si>
  <si>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</si>
  <si>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</si>
  <si>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</si>
  <si>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</si>
  <si>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</si>
  <si>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</si>
  <si>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</si>
  <si>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</si>
  <si>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</si>
  <si>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</si>
  <si>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</si>
  <si>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</si>
  <si>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</si>
  <si>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</si>
  <si>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</si>
  <si>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</si>
  <si>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</si>
  <si>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</si>
  <si>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</si>
  <si>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</si>
  <si>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一</t>
  </si>
  <si>
    <t>基础功能、IAS升级</t>
  </si>
  <si>
    <t>黄建伟</t>
  </si>
  <si>
    <t>许世安</t>
  </si>
  <si>
    <t>人力资源功能部署</t>
  </si>
  <si>
    <t>办公地点、用工性质、学历设置等等人力基础档案建立</t>
  </si>
  <si>
    <t>组织架构、岗位、人员同步，单点登录集成</t>
  </si>
  <si>
    <t>分部矩阵、部门矩阵等矩阵配置，角色创建</t>
  </si>
  <si>
    <t>知识文档目录创建、配置</t>
  </si>
  <si>
    <t>人事流程搭建、与人事功能配置，对应的台账、视图搭建</t>
  </si>
  <si>
    <t>考勤流程搭建、与考勤功能集成，对应的台账、视图搭建</t>
  </si>
  <si>
    <t>行政功能部署</t>
  </si>
  <si>
    <t>会议室、车辆等基础档案建立</t>
  </si>
  <si>
    <t>行政流程搭建、与会议、车辆等系统功能集成，对应的台账、视图搭建</t>
  </si>
  <si>
    <t>资产基础档案建立</t>
  </si>
  <si>
    <t>资产流程搭建、与系统资产功能集成</t>
  </si>
  <si>
    <t>信息中心功能部署</t>
  </si>
  <si>
    <t>信息中心功能搭建部署</t>
  </si>
  <si>
    <t>技术质量中心功能部署</t>
  </si>
  <si>
    <t>技术质量中心功能搭建部署</t>
  </si>
  <si>
    <t>运营中心功能部署</t>
  </si>
  <si>
    <t>运营中心功能搭建部署</t>
  </si>
  <si>
    <t>营销中心功能部署</t>
  </si>
  <si>
    <t>营销中心功能搭建部署</t>
  </si>
  <si>
    <t>账号信息管理、考试管理、基础共用功能部署</t>
  </si>
  <si>
    <t>账号信息管理、考试管理、基础共用等功能的功能搭建部署</t>
  </si>
  <si>
    <t>财务功能部署</t>
  </si>
  <si>
    <t>财务基础档案建立</t>
  </si>
  <si>
    <t>报销流程搭建、与ERP集成，非报销类财务流程搭建，对应的台账、视图搭建</t>
  </si>
  <si>
    <t>许世安、郑佳禹</t>
  </si>
  <si>
    <t>IAS系统搭建，与财务流程关联</t>
  </si>
  <si>
    <t>SMS系统</t>
  </si>
  <si>
    <t>SMS系统功能搭建部署</t>
  </si>
  <si>
    <t>二</t>
  </si>
  <si>
    <t>CRM系统改造升级</t>
  </si>
  <si>
    <t>构建CRM系统</t>
  </si>
  <si>
    <t>CRM系统构建与优化测试</t>
  </si>
  <si>
    <t>三</t>
  </si>
  <si>
    <t>第一批次应用测试与优化</t>
  </si>
  <si>
    <t>整体功能测试</t>
  </si>
  <si>
    <t>关键用户测试</t>
  </si>
  <si>
    <t>四</t>
  </si>
  <si>
    <t>第一批次培训推广应用</t>
  </si>
  <si>
    <t>上线培训</t>
  </si>
  <si>
    <t>张思麒、郑佳禹、许世安</t>
  </si>
  <si>
    <t>推广应用</t>
  </si>
  <si>
    <t>五</t>
  </si>
  <si>
    <t>第一批次应用上线</t>
  </si>
  <si>
    <t>第一批次应用构建完成上线后的使用问题处理</t>
  </si>
  <si>
    <t>★</t>
  </si>
  <si>
    <t>六</t>
  </si>
  <si>
    <t>独立系统升级</t>
  </si>
  <si>
    <t>CMS,MIS,IFS,PMS,PPS等独立系统升级</t>
  </si>
  <si>
    <t>MIS系统</t>
  </si>
  <si>
    <t>MIS系统功能优化重构、核心数据迁移、整体测试优化</t>
  </si>
  <si>
    <t>张思麒、郑佳禹</t>
  </si>
  <si>
    <t>MIS系统与ERP集成开发</t>
  </si>
  <si>
    <t>TMS系统</t>
  </si>
  <si>
    <t>TMS系统功能优化重构、核心数据迁移、整体测试优化</t>
  </si>
  <si>
    <t>CMS系统</t>
  </si>
  <si>
    <t>CMS系统功能优化重构、核心数据迁移、整体测试优化</t>
  </si>
  <si>
    <t>CMS系统与ERP集成开发</t>
  </si>
  <si>
    <t>QMS系统</t>
  </si>
  <si>
    <t>QMS系统功能优化重构、核心数据迁移、整体测试优化</t>
  </si>
  <si>
    <t>张思麒</t>
  </si>
  <si>
    <t>IFS系统</t>
  </si>
  <si>
    <t>IFS系统功能优化重构、核心数据迁移、整体测试优化</t>
  </si>
  <si>
    <t>IFS系统与ERP集成开发</t>
  </si>
  <si>
    <t>SPLM系统</t>
  </si>
  <si>
    <t>SPLM系统功能优化重构、核心数据迁移、整体测试优化</t>
  </si>
  <si>
    <t>PPS系统</t>
  </si>
  <si>
    <t>PPS系统功能优化重构、核心数据迁移、整体测试优化</t>
  </si>
  <si>
    <t>PPS系统与ERP集成开发</t>
  </si>
  <si>
    <t>MBO系统</t>
  </si>
  <si>
    <t>MBO系统功能优化重构、核心数据迁移、整体测试优化</t>
  </si>
  <si>
    <t>PMS系统</t>
  </si>
  <si>
    <t>PMS系统功能优化重构、核心数据迁移、整体测试优化</t>
  </si>
  <si>
    <t>PMS系统与ERP集成开发</t>
  </si>
  <si>
    <t>KMS系统</t>
  </si>
  <si>
    <t>KMS系统功能优化重构、核心数据迁移、整体测试优化</t>
  </si>
  <si>
    <t>七</t>
  </si>
  <si>
    <t>第二批次应用测试与优化</t>
  </si>
  <si>
    <t>八</t>
  </si>
  <si>
    <t>第二批次应用培训推广</t>
  </si>
  <si>
    <t>九</t>
  </si>
  <si>
    <t>第二批次应用上线</t>
  </si>
  <si>
    <t>上线后的稳定性优化</t>
  </si>
  <si>
    <t>系统版本</t>
  </si>
  <si>
    <t>数据库类型</t>
  </si>
  <si>
    <t>总表数量</t>
  </si>
  <si>
    <t>数据总量（单位万）</t>
  </si>
  <si>
    <t>流程路径量</t>
  </si>
  <si>
    <t>建模应用/模块量</t>
  </si>
  <si>
    <t>sql、java、js、java中的sql代码量（已去重）</t>
  </si>
  <si>
    <t>用户量(在职/离职)</t>
  </si>
  <si>
    <t>清单生成时间</t>
  </si>
  <si>
    <t>9.00.2501.02</t>
  </si>
  <si>
    <t>sqlserver</t>
  </si>
  <si>
    <t>18738万</t>
  </si>
  <si>
    <t>100/521</t>
  </si>
  <si>
    <t>207/346</t>
  </si>
  <si>
    <t>2025-12-24 12:17:30</t>
  </si>
  <si>
    <t>流程&amp;建模业务量分析</t>
  </si>
  <si>
    <t>设置项名称/调整维度</t>
  </si>
  <si>
    <t xml:space="preserve"> 工作流程（路径）</t>
  </si>
  <si>
    <t xml:space="preserve"> 工作流程需调整（路径）</t>
  </si>
  <si>
    <t>表单建模（应用/模块）</t>
  </si>
  <si>
    <t>表单建模需调整（应用/模块）</t>
  </si>
  <si>
    <t>全部数据</t>
  </si>
  <si>
    <t>96/358</t>
  </si>
  <si>
    <t>近一年内产生数据</t>
  </si>
  <si>
    <t>76/219</t>
  </si>
  <si>
    <t>72/152</t>
  </si>
  <si>
    <t>标准需调整项分布</t>
  </si>
  <si>
    <t>调整项合计</t>
  </si>
  <si>
    <t>门户&amp;协同区(门户引擎)</t>
  </si>
  <si>
    <t>模块_流程转数据赋值表达式(表单建模)</t>
  </si>
  <si>
    <t>全部调整</t>
  </si>
  <si>
    <t>自定义浏览按钮调整项分布</t>
  </si>
  <si>
    <t>自定义浏览按钮信息(集成模块)</t>
  </si>
  <si>
    <t>列表浏览框(表单建模)</t>
  </si>
  <si>
    <t>树形浏览框(表单建模)</t>
  </si>
  <si>
    <t>SQL需调整项分布</t>
  </si>
  <si>
    <t>表单建模</t>
  </si>
  <si>
    <t>模块布局字段属性SQL</t>
  </si>
  <si>
    <t>模块虚拟表单</t>
  </si>
  <si>
    <t>模块_字段联动</t>
  </si>
  <si>
    <t>模块_流程转数据更新条件</t>
  </si>
  <si>
    <t>模块_页面扩展接口动作</t>
  </si>
  <si>
    <t>模块_页面扩展权限条件SQL</t>
  </si>
  <si>
    <t>模块_浏览数据定义_数据范围设置</t>
  </si>
  <si>
    <t>查询_固定查询条件</t>
  </si>
  <si>
    <t>查询_无模块查询</t>
  </si>
  <si>
    <t>查询_字段定义_显示转换</t>
  </si>
  <si>
    <t>查询_统计</t>
  </si>
  <si>
    <t>查询_批量操作_页面扩展_数据筛选</t>
  </si>
  <si>
    <t>提醒 dml</t>
  </si>
  <si>
    <t>甘特图</t>
  </si>
  <si>
    <t>思维导图</t>
  </si>
  <si>
    <t>看板</t>
  </si>
  <si>
    <t>导航树</t>
  </si>
  <si>
    <t>工作流程</t>
  </si>
  <si>
    <t>流程字段联动(SQL)</t>
  </si>
  <si>
    <t>流程字段属性sql(SQL)</t>
  </si>
  <si>
    <t>其他模块</t>
  </si>
  <si>
    <t>自定义SQL视图</t>
  </si>
  <si>
    <t>自定义SQL（移动建模）</t>
  </si>
  <si>
    <t>数据看板&amp;数据报表&amp;数据集(数据中心)</t>
  </si>
  <si>
    <t>需处理设置（未去重）</t>
  </si>
  <si>
    <t>需要处理</t>
  </si>
  <si>
    <t>全部调整（未去重）</t>
  </si>
  <si>
    <t>近一年内产生数据（未去重））</t>
  </si>
  <si>
    <t>需处理设置（已去重）</t>
  </si>
  <si>
    <t>全部调整（已去重）</t>
  </si>
  <si>
    <t>近一年内产生数据（已去重）</t>
  </si>
  <si>
    <t>JS需调整项分布</t>
  </si>
  <si>
    <t>布局代码块</t>
  </si>
  <si>
    <t>模块_页面扩展链接动作</t>
  </si>
  <si>
    <t>模块_页面扩展回调函数</t>
  </si>
  <si>
    <t>查询_代码块</t>
  </si>
  <si>
    <t>查询_自定义按钮</t>
  </si>
  <si>
    <t>流程自定义页面</t>
  </si>
  <si>
    <t>流程表单代码块</t>
  </si>
  <si>
    <t>移动建模自定义JS(移动建模)</t>
  </si>
  <si>
    <t>近一年内产生数据（未去重）</t>
  </si>
  <si>
    <t>JAVA需要调整项分布</t>
  </si>
  <si>
    <t>流程节点附加操作(自定义)</t>
  </si>
  <si>
    <t>自定义计划任务(JAVA)</t>
  </si>
  <si>
    <t>代码中的SQL语句</t>
  </si>
  <si>
    <t>自定义开发Ecode</t>
  </si>
  <si>
    <t>Ecode数量合计</t>
  </si>
  <si>
    <t>SQL数量</t>
  </si>
  <si>
    <t>当前评估的是二次开发的功能的升级改造工作量，不包含系统标准功能搭建的工作量</t>
  </si>
  <si>
    <t>SQl数量(未去重)</t>
  </si>
  <si>
    <t>所有需处理设置（已去重）</t>
  </si>
  <si>
    <t>数量/类型</t>
  </si>
  <si>
    <t>总数</t>
  </si>
  <si>
    <t>无需处理</t>
  </si>
  <si>
    <t>系数（小时）</t>
  </si>
  <si>
    <t>预估工作量(人天)</t>
  </si>
  <si>
    <t>极复杂</t>
  </si>
  <si>
    <t>复杂</t>
  </si>
  <si>
    <t>中等</t>
  </si>
  <si>
    <t>简单</t>
  </si>
  <si>
    <t>合计</t>
  </si>
  <si>
    <t>近一年需处理设置（已去重）</t>
  </si>
  <si>
    <t>JS数量</t>
  </si>
  <si>
    <t>二开工作量</t>
  </si>
  <si>
    <t>JS数量(未去重)</t>
  </si>
  <si>
    <t>总数量(未去重)</t>
  </si>
  <si>
    <t>类型/工作量</t>
  </si>
  <si>
    <t>近一年需处理(天)</t>
  </si>
  <si>
    <t>所有需处理(天)</t>
  </si>
  <si>
    <t>JAVA数量</t>
  </si>
  <si>
    <t>JAVA代码中的SQL语句数量</t>
  </si>
  <si>
    <t>JAVA数量(未去重)</t>
  </si>
  <si>
    <t>最近一年需处理设置（已去重）</t>
  </si>
  <si>
    <t>JAVA转换后还需要编译部署，预计增加一人天编译部署成本</t>
  </si>
  <si>
    <t>java中SQL语句
1、代码中所有的SELECT，DELETE,UPDATE语句默认都会在执行时进行转换。
2、INSERT语句支持表单类型表的插入转换。
3、如果表单标准表的INSERT或自定义的存储过程请重新手动调整。</t>
  </si>
  <si>
    <t>时间</t>
  </si>
  <si>
    <t>系数(小时)</t>
  </si>
  <si>
    <t>预估工作量（人天）</t>
  </si>
  <si>
    <t>全部</t>
  </si>
  <si>
    <t>最近一年需处理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</si>
</sst>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indexed="8"/>
      <name val="等线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b/>
      <sz val="11"/>
      <color indexed="8"/>
      <name val="等线"/>
      <charset val="134"/>
      <scheme val="minor"/>
    </font>
    <font>
      <b/>
      <sz val="14"/>
      <name val="等线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20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8"/>
      <color theme="1"/>
      <name val="等线"/>
      <charset val="134"/>
      <scheme val="minor"/>
    </font>
    <font>
      <b/>
      <sz val="8"/>
      <name val="等线"/>
      <charset val="134"/>
      <scheme val="minor"/>
    </font>
    <font>
      <b/>
      <sz val="12"/>
      <name val="等线"/>
      <charset val="134"/>
      <scheme val="minor"/>
    </font>
    <font>
      <sz val="12"/>
      <name val="等线"/>
      <charset val="134"/>
      <scheme val="minor"/>
    </font>
    <font>
      <sz val="12"/>
      <color theme="1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51170384838"/>
        <bgColor theme="4" tint="0.799951170384838"/>
      </patternFill>
    </fill>
    <fill>
      <patternFill patternType="solid">
        <fgColor theme="4"/>
        <bgColor theme="4"/>
      </patternFill>
    </fill>
    <fill>
      <patternFill patternType="solid">
        <fgColor theme="6" tint="0.6"/>
        <bgColor theme="4" tint="0.799951170384838"/>
      </patternFill>
    </fill>
    <fill>
      <patternFill patternType="solid">
        <fgColor rgb="FFD9E1F4"/>
        <bgColor rgb="FFD9E1F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45066682943"/>
      </bottom>
      <diagonal/>
    </border>
    <border>
      <left/>
      <right/>
      <top style="thin">
        <color theme="4"/>
      </top>
      <bottom style="thin">
        <color theme="4" tint="0.39994506668294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5" borderId="1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6" borderId="20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1" fillId="17" borderId="20" applyNumberFormat="0" applyAlignment="0" applyProtection="0">
      <alignment vertical="center"/>
    </xf>
    <xf numFmtId="0" fontId="32" fillId="18" borderId="22" applyNumberFormat="0" applyAlignment="0" applyProtection="0">
      <alignment vertical="center"/>
    </xf>
    <xf numFmtId="0" fontId="33" fillId="0" borderId="23" applyNumberFormat="0" applyFill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40" fillId="0" borderId="0"/>
  </cellStyleXfs>
  <cellXfs count="91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4" borderId="5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vertical="center"/>
    </xf>
    <xf numFmtId="0" fontId="4" fillId="4" borderId="7" xfId="0" applyFont="1" applyFill="1" applyBorder="1" applyAlignment="1">
      <alignment vertical="center"/>
    </xf>
    <xf numFmtId="0" fontId="1" fillId="3" borderId="10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 wrapText="1"/>
    </xf>
    <xf numFmtId="0" fontId="9" fillId="4" borderId="0" xfId="0" applyFont="1" applyFill="1" applyAlignment="1">
      <alignment vertical="center"/>
    </xf>
    <xf numFmtId="0" fontId="10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13" fillId="7" borderId="12" xfId="0" applyFont="1" applyFill="1" applyBorder="1" applyAlignment="1">
      <alignment vertical="center"/>
    </xf>
    <xf numFmtId="0" fontId="12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 wrapText="1"/>
    </xf>
    <xf numFmtId="0" fontId="14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9" fillId="8" borderId="0" xfId="0" applyFont="1" applyFill="1" applyAlignment="1">
      <alignment vertical="center"/>
    </xf>
    <xf numFmtId="0" fontId="10" fillId="6" borderId="10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vertical="center"/>
    </xf>
    <xf numFmtId="0" fontId="9" fillId="8" borderId="3" xfId="0" applyFont="1" applyFill="1" applyBorder="1" applyAlignment="1">
      <alignment vertical="center"/>
    </xf>
    <xf numFmtId="0" fontId="15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top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 wrapText="1"/>
    </xf>
    <xf numFmtId="0" fontId="2" fillId="9" borderId="13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top"/>
    </xf>
    <xf numFmtId="0" fontId="16" fillId="10" borderId="3" xfId="0" applyFont="1" applyFill="1" applyBorder="1" applyAlignment="1">
      <alignment horizontal="center" vertical="top"/>
    </xf>
    <xf numFmtId="0" fontId="17" fillId="11" borderId="3" xfId="0" applyFont="1" applyFill="1" applyBorder="1" applyAlignment="1">
      <alignment horizontal="center" vertical="top"/>
    </xf>
    <xf numFmtId="0" fontId="16" fillId="11" borderId="3" xfId="0" applyFont="1" applyFill="1" applyBorder="1" applyAlignment="1">
      <alignment horizontal="center" vertical="top"/>
    </xf>
    <xf numFmtId="0" fontId="2" fillId="12" borderId="3" xfId="0" applyFont="1" applyFill="1" applyBorder="1" applyAlignment="1">
      <alignment horizontal="center" vertical="center"/>
    </xf>
    <xf numFmtId="14" fontId="2" fillId="13" borderId="3" xfId="0" applyNumberFormat="1" applyFont="1" applyFill="1" applyBorder="1" applyAlignment="1">
      <alignment horizontal="center" vertical="center"/>
    </xf>
    <xf numFmtId="0" fontId="18" fillId="13" borderId="3" xfId="49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9" fillId="0" borderId="3" xfId="49" applyFont="1" applyBorder="1" applyAlignment="1">
      <alignment horizontal="left" vertical="center" wrapText="1" indent="1"/>
    </xf>
    <xf numFmtId="14" fontId="15" fillId="0" borderId="3" xfId="0" applyNumberFormat="1" applyFont="1" applyBorder="1" applyAlignment="1">
      <alignment horizontal="center" vertical="center"/>
    </xf>
    <xf numFmtId="0" fontId="19" fillId="0" borderId="3" xfId="49" applyFont="1" applyBorder="1" applyAlignment="1">
      <alignment horizontal="center" vertical="center"/>
    </xf>
    <xf numFmtId="0" fontId="15" fillId="14" borderId="3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9" fillId="10" borderId="3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14" fontId="2" fillId="13" borderId="3" xfId="0" applyNumberFormat="1" applyFont="1" applyFill="1" applyBorder="1" applyAlignment="1">
      <alignment horizontal="center" vertical="center" wrapText="1"/>
    </xf>
    <xf numFmtId="0" fontId="18" fillId="13" borderId="3" xfId="49" applyFont="1" applyFill="1" applyBorder="1" applyAlignment="1">
      <alignment horizontal="center" vertical="center" wrapText="1"/>
    </xf>
    <xf numFmtId="0" fontId="19" fillId="0" borderId="3" xfId="49" applyFont="1" applyBorder="1" applyAlignment="1">
      <alignment horizontal="left" vertical="center" indent="1"/>
    </xf>
    <xf numFmtId="14" fontId="20" fillId="11" borderId="3" xfId="0" applyNumberFormat="1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left" vertical="center" wrapText="1" inden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C6E0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56"/>
  <sheetViews>
    <sheetView tabSelected="1" workbookViewId="0">
      <pane xSplit="9" ySplit="2" topLeftCell="J3" activePane="bottomRight" state="frozen"/>
      <selection/>
      <selection pane="topRight"/>
      <selection pane="bottomLeft"/>
      <selection pane="bottomRight" activeCell="BC2" sqref="BC2"/>
    </sheetView>
  </sheetViews>
  <sheetFormatPr defaultColWidth="9" defaultRowHeight="21" customHeight="1"/>
  <cols>
    <col min="1" max="1" width="7.10833333333333" style="59" customWidth="1"/>
    <col min="2" max="2" width="20.4416666666667" style="59" customWidth="1"/>
    <col min="3" max="3" width="43.8833333333333" style="60" customWidth="1"/>
    <col min="4" max="5" width="10.775" style="59" customWidth="1"/>
    <col min="6" max="6" width="12.5583333333333" style="59" customWidth="1"/>
    <col min="7" max="7" width="13.8833333333333" style="59" customWidth="1"/>
    <col min="8" max="8" width="7.775" style="59" customWidth="1"/>
    <col min="9" max="9" width="9.10833333333333" style="58" customWidth="1"/>
    <col min="10" max="61" width="4.375" style="59" customWidth="1"/>
    <col min="62" max="16279" width="8.88333333333333" style="59"/>
    <col min="16280" max="16384" width="9" style="59"/>
  </cols>
  <sheetData>
    <row r="1" s="56" customFormat="1" ht="28.2" customHeight="1" spans="1:61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2" t="s">
        <v>8</v>
      </c>
      <c r="J1" s="61" t="s">
        <v>9</v>
      </c>
      <c r="K1" s="61"/>
      <c r="L1" s="61"/>
      <c r="M1" s="61"/>
      <c r="N1" s="61"/>
      <c r="O1" s="61" t="s">
        <v>10</v>
      </c>
      <c r="P1" s="61"/>
      <c r="Q1" s="61"/>
      <c r="R1" s="61"/>
      <c r="S1" s="61" t="s">
        <v>11</v>
      </c>
      <c r="T1" s="61"/>
      <c r="U1" s="61"/>
      <c r="V1" s="61"/>
      <c r="W1" s="61" t="s">
        <v>12</v>
      </c>
      <c r="X1" s="61"/>
      <c r="Y1" s="61"/>
      <c r="Z1" s="61"/>
      <c r="AA1" s="61"/>
      <c r="AB1" s="61" t="s">
        <v>13</v>
      </c>
      <c r="AC1" s="61"/>
      <c r="AD1" s="61"/>
      <c r="AE1" s="61"/>
      <c r="AF1" s="61" t="s">
        <v>14</v>
      </c>
      <c r="AG1" s="61"/>
      <c r="AH1" s="61"/>
      <c r="AI1" s="61"/>
      <c r="AJ1" s="61" t="s">
        <v>15</v>
      </c>
      <c r="AK1" s="61"/>
      <c r="AL1" s="61"/>
      <c r="AM1" s="61"/>
      <c r="AN1" s="61"/>
      <c r="AO1" s="61" t="s">
        <v>16</v>
      </c>
      <c r="AP1" s="61"/>
      <c r="AQ1" s="61"/>
      <c r="AR1" s="61"/>
      <c r="AS1" s="63" t="s">
        <v>17</v>
      </c>
      <c r="AT1" s="64"/>
      <c r="AU1" s="64"/>
      <c r="AV1" s="65"/>
      <c r="AW1" s="63" t="s">
        <v>18</v>
      </c>
      <c r="AX1" s="64"/>
      <c r="AY1" s="64"/>
      <c r="AZ1" s="64"/>
      <c r="BA1" s="65"/>
      <c r="BB1" s="61" t="s">
        <v>19</v>
      </c>
      <c r="BC1" s="61"/>
      <c r="BD1" s="61"/>
      <c r="BE1" s="61"/>
      <c r="BF1" s="61" t="s">
        <v>20</v>
      </c>
      <c r="BG1" s="61"/>
      <c r="BH1" s="61"/>
      <c r="BI1" s="61"/>
    </row>
    <row r="2" s="57" customFormat="1" ht="26.4" customHeight="1" spans="1:61">
      <c r="A2" s="61"/>
      <c r="B2" s="61"/>
      <c r="C2" s="61"/>
      <c r="D2" s="61"/>
      <c r="E2" s="61"/>
      <c r="F2" s="61"/>
      <c r="G2" s="61"/>
      <c r="H2" s="61"/>
      <c r="I2" s="62"/>
      <c r="J2" s="66" t="s">
        <v>21</v>
      </c>
      <c r="K2" s="66" t="s">
        <v>22</v>
      </c>
      <c r="L2" s="66" t="s">
        <v>23</v>
      </c>
      <c r="M2" s="66" t="s">
        <v>24</v>
      </c>
      <c r="N2" s="66" t="s">
        <v>25</v>
      </c>
      <c r="O2" s="66" t="s">
        <v>26</v>
      </c>
      <c r="P2" s="66" t="s">
        <v>27</v>
      </c>
      <c r="Q2" s="67" t="s">
        <v>28</v>
      </c>
      <c r="R2" s="66" t="s">
        <v>29</v>
      </c>
      <c r="S2" s="66" t="s">
        <v>30</v>
      </c>
      <c r="T2" s="66" t="s">
        <v>31</v>
      </c>
      <c r="U2" s="66" t="s">
        <v>32</v>
      </c>
      <c r="V2" s="66" t="s">
        <v>33</v>
      </c>
      <c r="W2" s="66" t="s">
        <v>34</v>
      </c>
      <c r="X2" s="66" t="s">
        <v>35</v>
      </c>
      <c r="Y2" s="66" t="s">
        <v>36</v>
      </c>
      <c r="Z2" s="66" t="s">
        <v>37</v>
      </c>
      <c r="AA2" s="66" t="s">
        <v>38</v>
      </c>
      <c r="AB2" s="66" t="s">
        <v>39</v>
      </c>
      <c r="AC2" s="66" t="s">
        <v>40</v>
      </c>
      <c r="AD2" s="66" t="s">
        <v>41</v>
      </c>
      <c r="AE2" s="66" t="s">
        <v>42</v>
      </c>
      <c r="AF2" s="68" t="s">
        <v>43</v>
      </c>
      <c r="AG2" s="66" t="s">
        <v>44</v>
      </c>
      <c r="AH2" s="66" t="s">
        <v>45</v>
      </c>
      <c r="AI2" s="66" t="s">
        <v>46</v>
      </c>
      <c r="AJ2" s="66" t="s">
        <v>47</v>
      </c>
      <c r="AK2" s="66" t="s">
        <v>48</v>
      </c>
      <c r="AL2" s="66" t="s">
        <v>49</v>
      </c>
      <c r="AM2" s="66" t="s">
        <v>50</v>
      </c>
      <c r="AN2" s="66" t="s">
        <v>51</v>
      </c>
      <c r="AO2" s="66" t="s">
        <v>52</v>
      </c>
      <c r="AP2" s="66" t="s">
        <v>53</v>
      </c>
      <c r="AQ2" s="66" t="s">
        <v>54</v>
      </c>
      <c r="AR2" s="66" t="s">
        <v>55</v>
      </c>
      <c r="AS2" s="66" t="s">
        <v>56</v>
      </c>
      <c r="AT2" s="66" t="s">
        <v>57</v>
      </c>
      <c r="AU2" s="66" t="s">
        <v>58</v>
      </c>
      <c r="AV2" s="66" t="s">
        <v>59</v>
      </c>
      <c r="AW2" s="67" t="s">
        <v>60</v>
      </c>
      <c r="AX2" s="66" t="s">
        <v>61</v>
      </c>
      <c r="AY2" s="66" t="s">
        <v>62</v>
      </c>
      <c r="AZ2" s="66" t="s">
        <v>63</v>
      </c>
      <c r="BA2" s="66" t="s">
        <v>64</v>
      </c>
      <c r="BB2" s="66" t="s">
        <v>65</v>
      </c>
      <c r="BC2" s="69" t="s">
        <v>66</v>
      </c>
      <c r="BD2" s="66" t="s">
        <v>67</v>
      </c>
      <c r="BE2" s="66" t="s">
        <v>68</v>
      </c>
      <c r="BF2" s="66" t="s">
        <v>69</v>
      </c>
      <c r="BG2" s="66" t="s">
        <v>70</v>
      </c>
      <c r="BH2" s="66" t="s">
        <v>71</v>
      </c>
      <c r="BI2" s="66" t="s">
        <v>72</v>
      </c>
    </row>
    <row r="3" customHeight="1" spans="1:61">
      <c r="A3" s="70" t="s">
        <v>73</v>
      </c>
      <c r="B3" s="70" t="s">
        <v>74</v>
      </c>
      <c r="C3" s="70" t="s">
        <v>74</v>
      </c>
      <c r="D3" s="70" t="s">
        <v>75</v>
      </c>
      <c r="E3" s="70" t="s">
        <v>76</v>
      </c>
      <c r="F3" s="71">
        <v>46026</v>
      </c>
      <c r="G3" s="71">
        <v>46122</v>
      </c>
      <c r="H3" s="72">
        <v>72</v>
      </c>
      <c r="I3" s="73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</row>
    <row r="4" ht="39" customHeight="1" spans="1:61">
      <c r="A4" s="74">
        <v>1.01</v>
      </c>
      <c r="B4" s="75" t="s">
        <v>77</v>
      </c>
      <c r="C4" s="76" t="s">
        <v>78</v>
      </c>
      <c r="D4" s="74" t="s">
        <v>75</v>
      </c>
      <c r="E4" s="74" t="s">
        <v>76</v>
      </c>
      <c r="F4" s="77">
        <v>46026</v>
      </c>
      <c r="G4" s="77">
        <v>46026</v>
      </c>
      <c r="H4" s="78">
        <v>1</v>
      </c>
      <c r="I4" s="73"/>
      <c r="J4" s="79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</row>
    <row r="5" customHeight="1" spans="1:61">
      <c r="A5" s="74">
        <f>A4+0.01</f>
        <v>1.02</v>
      </c>
      <c r="B5" s="80"/>
      <c r="C5" s="76" t="s">
        <v>79</v>
      </c>
      <c r="D5" s="74" t="s">
        <v>75</v>
      </c>
      <c r="E5" s="74" t="s">
        <v>76</v>
      </c>
      <c r="F5" s="77">
        <v>46026</v>
      </c>
      <c r="G5" s="77">
        <v>46026</v>
      </c>
      <c r="H5" s="78">
        <v>1</v>
      </c>
      <c r="I5" s="73"/>
      <c r="J5" s="79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</row>
    <row r="6" customHeight="1" spans="1:61">
      <c r="A6" s="74">
        <f>A5+0.01</f>
        <v>1.03</v>
      </c>
      <c r="B6" s="80"/>
      <c r="C6" s="76" t="s">
        <v>80</v>
      </c>
      <c r="D6" s="74" t="s">
        <v>75</v>
      </c>
      <c r="E6" s="74" t="s">
        <v>76</v>
      </c>
      <c r="F6" s="77">
        <v>46027</v>
      </c>
      <c r="G6" s="77">
        <v>46027</v>
      </c>
      <c r="H6" s="78">
        <v>1</v>
      </c>
      <c r="I6" s="73"/>
      <c r="J6" s="74"/>
      <c r="K6" s="79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</row>
    <row r="7" customHeight="1" spans="1:61">
      <c r="A7" s="74">
        <f>A6+0.01</f>
        <v>1.04</v>
      </c>
      <c r="B7" s="80"/>
      <c r="C7" s="76" t="s">
        <v>81</v>
      </c>
      <c r="D7" s="74" t="s">
        <v>75</v>
      </c>
      <c r="E7" s="74" t="s">
        <v>76</v>
      </c>
      <c r="F7" s="77">
        <v>46028</v>
      </c>
      <c r="G7" s="77">
        <v>46028</v>
      </c>
      <c r="H7" s="78">
        <v>1</v>
      </c>
      <c r="I7" s="73"/>
      <c r="J7" s="74"/>
      <c r="K7" s="79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</row>
    <row r="8" ht="36" customHeight="1" spans="1:61">
      <c r="A8" s="74">
        <f>A7+0.01</f>
        <v>1.05</v>
      </c>
      <c r="B8" s="80"/>
      <c r="C8" s="76" t="s">
        <v>82</v>
      </c>
      <c r="D8" s="74" t="s">
        <v>75</v>
      </c>
      <c r="E8" s="74" t="s">
        <v>76</v>
      </c>
      <c r="F8" s="77">
        <v>46029</v>
      </c>
      <c r="G8" s="77">
        <v>46032</v>
      </c>
      <c r="H8" s="78">
        <v>4</v>
      </c>
      <c r="I8" s="73"/>
      <c r="J8" s="74"/>
      <c r="K8" s="79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</row>
    <row r="9" ht="36" customHeight="1" spans="1:61">
      <c r="A9" s="74">
        <f>A8+0.01</f>
        <v>1.06</v>
      </c>
      <c r="B9" s="81"/>
      <c r="C9" s="76" t="s">
        <v>83</v>
      </c>
      <c r="D9" s="74" t="s">
        <v>75</v>
      </c>
      <c r="E9" s="74" t="s">
        <v>76</v>
      </c>
      <c r="F9" s="77">
        <v>46034</v>
      </c>
      <c r="G9" s="77">
        <v>46037</v>
      </c>
      <c r="H9" s="78">
        <v>4</v>
      </c>
      <c r="I9" s="73"/>
      <c r="J9" s="74"/>
      <c r="K9" s="74"/>
      <c r="L9" s="79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</row>
    <row r="10" customHeight="1" spans="1:61">
      <c r="A10" s="74">
        <f t="shared" ref="A10:A22" si="0">A9+0.01</f>
        <v>1.07</v>
      </c>
      <c r="B10" s="75" t="s">
        <v>84</v>
      </c>
      <c r="C10" s="76" t="s">
        <v>85</v>
      </c>
      <c r="D10" s="74" t="s">
        <v>75</v>
      </c>
      <c r="E10" s="74" t="s">
        <v>76</v>
      </c>
      <c r="F10" s="77">
        <v>46038</v>
      </c>
      <c r="G10" s="77">
        <v>46038</v>
      </c>
      <c r="H10" s="78">
        <v>1</v>
      </c>
      <c r="I10" s="73"/>
      <c r="J10" s="74"/>
      <c r="K10" s="74"/>
      <c r="L10" s="79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</row>
    <row r="11" ht="36" customHeight="1" spans="1:61">
      <c r="A11" s="74">
        <f t="shared" si="0"/>
        <v>1.08</v>
      </c>
      <c r="B11" s="80"/>
      <c r="C11" s="76" t="s">
        <v>86</v>
      </c>
      <c r="D11" s="74" t="s">
        <v>75</v>
      </c>
      <c r="E11" s="74" t="s">
        <v>76</v>
      </c>
      <c r="F11" s="77">
        <v>46038</v>
      </c>
      <c r="G11" s="77">
        <v>46043</v>
      </c>
      <c r="H11" s="78">
        <v>4</v>
      </c>
      <c r="I11" s="73"/>
      <c r="J11" s="74"/>
      <c r="K11" s="74"/>
      <c r="L11" s="79"/>
      <c r="M11" s="79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</row>
    <row r="12" customHeight="1" spans="1:61">
      <c r="A12" s="74">
        <f t="shared" si="0"/>
        <v>1.09</v>
      </c>
      <c r="B12" s="80"/>
      <c r="C12" s="76" t="s">
        <v>87</v>
      </c>
      <c r="D12" s="74" t="s">
        <v>75</v>
      </c>
      <c r="E12" s="74" t="s">
        <v>76</v>
      </c>
      <c r="F12" s="77">
        <v>46044</v>
      </c>
      <c r="G12" s="77">
        <v>46044</v>
      </c>
      <c r="H12" s="78">
        <v>1</v>
      </c>
      <c r="I12" s="73"/>
      <c r="J12" s="74"/>
      <c r="K12" s="74"/>
      <c r="L12" s="74"/>
      <c r="M12" s="79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</row>
    <row r="13" customHeight="1" spans="1:61">
      <c r="A13" s="74">
        <f t="shared" si="0"/>
        <v>1.1</v>
      </c>
      <c r="B13" s="81"/>
      <c r="C13" s="76" t="s">
        <v>88</v>
      </c>
      <c r="D13" s="74" t="s">
        <v>75</v>
      </c>
      <c r="E13" s="74" t="s">
        <v>76</v>
      </c>
      <c r="F13" s="77">
        <v>46045</v>
      </c>
      <c r="G13" s="77">
        <v>46046</v>
      </c>
      <c r="H13" s="78">
        <v>2</v>
      </c>
      <c r="I13" s="73"/>
      <c r="J13" s="74"/>
      <c r="K13" s="74"/>
      <c r="L13" s="74"/>
      <c r="M13" s="79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</row>
    <row r="14" customHeight="1" spans="1:61">
      <c r="A14" s="74">
        <f t="shared" si="0"/>
        <v>1.11</v>
      </c>
      <c r="B14" s="74" t="s">
        <v>89</v>
      </c>
      <c r="C14" s="76" t="s">
        <v>90</v>
      </c>
      <c r="D14" s="74" t="s">
        <v>75</v>
      </c>
      <c r="E14" s="74" t="s">
        <v>76</v>
      </c>
      <c r="F14" s="77">
        <v>46048</v>
      </c>
      <c r="G14" s="77">
        <v>46050</v>
      </c>
      <c r="H14" s="78">
        <v>3</v>
      </c>
      <c r="I14" s="73"/>
      <c r="J14" s="74"/>
      <c r="K14" s="74"/>
      <c r="L14" s="74"/>
      <c r="M14" s="74"/>
      <c r="N14" s="79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</row>
    <row r="15" customHeight="1" spans="1:61">
      <c r="A15" s="74">
        <f t="shared" si="0"/>
        <v>1.12</v>
      </c>
      <c r="B15" s="74" t="s">
        <v>91</v>
      </c>
      <c r="C15" s="76" t="s">
        <v>92</v>
      </c>
      <c r="D15" s="74" t="s">
        <v>75</v>
      </c>
      <c r="E15" s="74" t="s">
        <v>76</v>
      </c>
      <c r="F15" s="77">
        <v>46051</v>
      </c>
      <c r="G15" s="77">
        <v>46057</v>
      </c>
      <c r="H15" s="78">
        <v>5</v>
      </c>
      <c r="I15" s="73"/>
      <c r="J15" s="74"/>
      <c r="K15" s="74"/>
      <c r="L15" s="74"/>
      <c r="M15" s="74"/>
      <c r="N15" s="79"/>
      <c r="O15" s="79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</row>
    <row r="16" customHeight="1" spans="1:61">
      <c r="A16" s="74">
        <f t="shared" si="0"/>
        <v>1.13</v>
      </c>
      <c r="B16" s="74" t="s">
        <v>93</v>
      </c>
      <c r="C16" s="76" t="s">
        <v>94</v>
      </c>
      <c r="D16" s="74" t="s">
        <v>75</v>
      </c>
      <c r="E16" s="74" t="s">
        <v>76</v>
      </c>
      <c r="F16" s="77">
        <v>46058</v>
      </c>
      <c r="G16" s="77">
        <v>46060</v>
      </c>
      <c r="H16" s="78">
        <v>3</v>
      </c>
      <c r="I16" s="73"/>
      <c r="J16" s="74"/>
      <c r="K16" s="74"/>
      <c r="L16" s="74"/>
      <c r="M16" s="74"/>
      <c r="N16" s="74"/>
      <c r="O16" s="79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</row>
    <row r="17" customHeight="1" spans="1:61">
      <c r="A17" s="74">
        <f t="shared" si="0"/>
        <v>1.14</v>
      </c>
      <c r="B17" s="74" t="s">
        <v>95</v>
      </c>
      <c r="C17" s="76" t="s">
        <v>96</v>
      </c>
      <c r="D17" s="74" t="s">
        <v>75</v>
      </c>
      <c r="E17" s="74" t="s">
        <v>76</v>
      </c>
      <c r="F17" s="77">
        <v>46062</v>
      </c>
      <c r="G17" s="77">
        <v>46063</v>
      </c>
      <c r="H17" s="78">
        <v>2</v>
      </c>
      <c r="I17" s="73"/>
      <c r="J17" s="74"/>
      <c r="K17" s="74"/>
      <c r="L17" s="74"/>
      <c r="M17" s="74"/>
      <c r="N17" s="74"/>
      <c r="O17" s="74"/>
      <c r="P17" s="79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</row>
    <row r="18" ht="55" customHeight="1" spans="1:61">
      <c r="A18" s="74">
        <f t="shared" si="0"/>
        <v>1.15</v>
      </c>
      <c r="B18" s="73" t="s">
        <v>97</v>
      </c>
      <c r="C18" s="76" t="s">
        <v>98</v>
      </c>
      <c r="D18" s="74" t="s">
        <v>75</v>
      </c>
      <c r="E18" s="74" t="s">
        <v>76</v>
      </c>
      <c r="F18" s="77">
        <v>46064</v>
      </c>
      <c r="G18" s="77">
        <v>46067</v>
      </c>
      <c r="H18" s="78">
        <v>4</v>
      </c>
      <c r="I18" s="73"/>
      <c r="J18" s="74"/>
      <c r="K18" s="74"/>
      <c r="L18" s="74"/>
      <c r="M18" s="74"/>
      <c r="N18" s="74"/>
      <c r="O18" s="74"/>
      <c r="P18" s="79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</row>
    <row r="19" customHeight="1" spans="1:61">
      <c r="A19" s="74">
        <f t="shared" si="0"/>
        <v>1.16</v>
      </c>
      <c r="B19" s="75" t="s">
        <v>99</v>
      </c>
      <c r="C19" s="76" t="s">
        <v>100</v>
      </c>
      <c r="D19" s="74" t="s">
        <v>75</v>
      </c>
      <c r="E19" s="74" t="s">
        <v>76</v>
      </c>
      <c r="F19" s="77">
        <v>46077</v>
      </c>
      <c r="G19" s="77">
        <v>46077</v>
      </c>
      <c r="H19" s="78">
        <v>1</v>
      </c>
      <c r="I19" s="73"/>
      <c r="J19" s="74"/>
      <c r="K19" s="74"/>
      <c r="L19" s="74"/>
      <c r="M19" s="74"/>
      <c r="N19" s="74"/>
      <c r="O19" s="74"/>
      <c r="P19" s="74"/>
      <c r="Q19" s="82"/>
      <c r="R19" s="79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</row>
    <row r="20" ht="45" customHeight="1" spans="1:61">
      <c r="A20" s="74">
        <f t="shared" si="0"/>
        <v>1.17</v>
      </c>
      <c r="B20" s="80"/>
      <c r="C20" s="76" t="s">
        <v>101</v>
      </c>
      <c r="D20" s="74" t="s">
        <v>75</v>
      </c>
      <c r="E20" s="73" t="s">
        <v>102</v>
      </c>
      <c r="F20" s="77">
        <v>46078</v>
      </c>
      <c r="G20" s="77">
        <v>46088</v>
      </c>
      <c r="H20" s="78">
        <v>10</v>
      </c>
      <c r="I20" s="73"/>
      <c r="J20" s="74"/>
      <c r="K20" s="74"/>
      <c r="L20" s="74"/>
      <c r="M20" s="74"/>
      <c r="N20" s="74"/>
      <c r="O20" s="74"/>
      <c r="P20" s="74"/>
      <c r="Q20" s="74"/>
      <c r="R20" s="79"/>
      <c r="S20" s="79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</row>
    <row r="21" ht="41" customHeight="1" spans="1:61">
      <c r="A21" s="74">
        <f t="shared" si="0"/>
        <v>1.18</v>
      </c>
      <c r="B21" s="81"/>
      <c r="C21" s="76" t="s">
        <v>103</v>
      </c>
      <c r="D21" s="74" t="s">
        <v>75</v>
      </c>
      <c r="E21" s="73" t="s">
        <v>102</v>
      </c>
      <c r="F21" s="77">
        <v>46090</v>
      </c>
      <c r="G21" s="77">
        <v>46112</v>
      </c>
      <c r="H21" s="78">
        <v>18</v>
      </c>
      <c r="I21" s="73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9"/>
      <c r="U21" s="79"/>
      <c r="V21" s="79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</row>
    <row r="22" ht="41" customHeight="1" spans="1:61">
      <c r="A22" s="74">
        <f t="shared" si="0"/>
        <v>1.19</v>
      </c>
      <c r="B22" s="74" t="s">
        <v>104</v>
      </c>
      <c r="C22" s="76" t="s">
        <v>105</v>
      </c>
      <c r="D22" s="74" t="s">
        <v>75</v>
      </c>
      <c r="E22" s="73" t="s">
        <v>102</v>
      </c>
      <c r="F22" s="77">
        <v>46113</v>
      </c>
      <c r="G22" s="77">
        <v>46122</v>
      </c>
      <c r="H22" s="78">
        <v>8</v>
      </c>
      <c r="I22" s="73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9"/>
      <c r="X22" s="79"/>
      <c r="Y22" s="83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</row>
    <row r="23" s="58" customFormat="1" ht="51" customHeight="1" spans="1:61">
      <c r="A23" s="84" t="s">
        <v>106</v>
      </c>
      <c r="B23" s="84" t="s">
        <v>107</v>
      </c>
      <c r="C23" s="84" t="s">
        <v>108</v>
      </c>
      <c r="D23" s="84" t="s">
        <v>75</v>
      </c>
      <c r="E23" s="84" t="s">
        <v>102</v>
      </c>
      <c r="F23" s="85">
        <v>46125</v>
      </c>
      <c r="G23" s="85">
        <v>46158</v>
      </c>
      <c r="H23" s="86">
        <v>26</v>
      </c>
      <c r="I23" s="7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</row>
    <row r="24" ht="41" customHeight="1" spans="1:61">
      <c r="A24" s="74">
        <v>2.01</v>
      </c>
      <c r="B24" s="74" t="s">
        <v>107</v>
      </c>
      <c r="C24" s="87" t="s">
        <v>109</v>
      </c>
      <c r="D24" s="74" t="s">
        <v>75</v>
      </c>
      <c r="E24" s="73" t="s">
        <v>102</v>
      </c>
      <c r="F24" s="77">
        <v>46125</v>
      </c>
      <c r="G24" s="77">
        <v>46158</v>
      </c>
      <c r="H24" s="78">
        <v>26</v>
      </c>
      <c r="I24" s="73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9"/>
      <c r="Z24" s="79"/>
      <c r="AA24" s="79"/>
      <c r="AB24" s="79"/>
      <c r="AC24" s="79"/>
      <c r="AD24" s="74"/>
      <c r="AE24" s="83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</row>
    <row r="25" customFormat="1" ht="41" customHeight="1" spans="1:61">
      <c r="A25" s="84" t="s">
        <v>110</v>
      </c>
      <c r="B25" s="84" t="s">
        <v>111</v>
      </c>
      <c r="C25" s="84" t="s">
        <v>111</v>
      </c>
      <c r="D25" s="84" t="s">
        <v>75</v>
      </c>
      <c r="E25" s="84" t="s">
        <v>102</v>
      </c>
      <c r="F25" s="85">
        <v>46160</v>
      </c>
      <c r="G25" s="85">
        <v>46164</v>
      </c>
      <c r="H25" s="86">
        <v>5</v>
      </c>
      <c r="I25" s="73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83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</row>
    <row r="26" customFormat="1" ht="41" customHeight="1" spans="1:61">
      <c r="A26" s="74">
        <v>3.01</v>
      </c>
      <c r="B26" s="74" t="s">
        <v>112</v>
      </c>
      <c r="C26" s="87" t="s">
        <v>112</v>
      </c>
      <c r="D26" s="74" t="s">
        <v>75</v>
      </c>
      <c r="E26" s="73" t="s">
        <v>102</v>
      </c>
      <c r="F26" s="77">
        <v>46160</v>
      </c>
      <c r="G26" s="77">
        <v>46164</v>
      </c>
      <c r="H26" s="78">
        <v>5</v>
      </c>
      <c r="I26" s="73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9"/>
      <c r="AE26" s="83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</row>
    <row r="27" s="58" customFormat="1" ht="51" customHeight="1" spans="1:61">
      <c r="A27" s="74">
        <v>3.02</v>
      </c>
      <c r="B27" s="74" t="s">
        <v>113</v>
      </c>
      <c r="C27" s="87" t="s">
        <v>113</v>
      </c>
      <c r="D27" s="74" t="s">
        <v>75</v>
      </c>
      <c r="E27" s="73" t="s">
        <v>102</v>
      </c>
      <c r="F27" s="77">
        <v>46160</v>
      </c>
      <c r="G27" s="77">
        <v>46164</v>
      </c>
      <c r="H27" s="78">
        <v>5</v>
      </c>
      <c r="I27" s="7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79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</row>
    <row r="28" s="58" customFormat="1" ht="51" customHeight="1" spans="1:61">
      <c r="A28" s="84" t="s">
        <v>114</v>
      </c>
      <c r="B28" s="84" t="s">
        <v>115</v>
      </c>
      <c r="C28" s="84" t="s">
        <v>115</v>
      </c>
      <c r="D28" s="84" t="s">
        <v>75</v>
      </c>
      <c r="E28" s="84" t="s">
        <v>102</v>
      </c>
      <c r="F28" s="85">
        <v>46167</v>
      </c>
      <c r="G28" s="85">
        <v>46326</v>
      </c>
      <c r="H28" s="86">
        <v>117</v>
      </c>
      <c r="I28" s="7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</row>
    <row r="29" ht="41" customHeight="1" spans="1:61">
      <c r="A29" s="74">
        <v>4.01</v>
      </c>
      <c r="B29" s="74" t="s">
        <v>116</v>
      </c>
      <c r="C29" s="87" t="s">
        <v>116</v>
      </c>
      <c r="D29" s="74" t="s">
        <v>75</v>
      </c>
      <c r="E29" s="73" t="s">
        <v>117</v>
      </c>
      <c r="F29" s="77">
        <v>46167</v>
      </c>
      <c r="G29" s="77">
        <v>46172</v>
      </c>
      <c r="H29" s="78">
        <v>6</v>
      </c>
      <c r="I29" s="73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9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</row>
    <row r="30" ht="51" customHeight="1" spans="1:61">
      <c r="A30" s="74">
        <v>4.02</v>
      </c>
      <c r="B30" s="74" t="s">
        <v>118</v>
      </c>
      <c r="C30" s="87" t="s">
        <v>118</v>
      </c>
      <c r="D30" s="74" t="s">
        <v>75</v>
      </c>
      <c r="E30" s="73" t="s">
        <v>117</v>
      </c>
      <c r="F30" s="77">
        <v>46174</v>
      </c>
      <c r="G30" s="77">
        <v>46326</v>
      </c>
      <c r="H30" s="78">
        <v>117</v>
      </c>
      <c r="I30" s="73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82"/>
      <c r="AX30" s="79"/>
      <c r="AY30" s="79"/>
      <c r="AZ30" s="79"/>
      <c r="BA30" s="79"/>
      <c r="BB30" s="74"/>
      <c r="BC30" s="74"/>
      <c r="BD30" s="74"/>
      <c r="BE30" s="74"/>
      <c r="BF30" s="74"/>
      <c r="BG30" s="74"/>
      <c r="BH30" s="74"/>
      <c r="BI30" s="74"/>
    </row>
    <row r="31" ht="51" customHeight="1" spans="1:61">
      <c r="A31" s="70" t="s">
        <v>119</v>
      </c>
      <c r="B31" s="70" t="s">
        <v>120</v>
      </c>
      <c r="C31" s="70" t="s">
        <v>121</v>
      </c>
      <c r="D31" s="70" t="s">
        <v>75</v>
      </c>
      <c r="E31" s="84" t="s">
        <v>117</v>
      </c>
      <c r="F31" s="71">
        <v>46174</v>
      </c>
      <c r="G31" s="71">
        <v>46179</v>
      </c>
      <c r="H31" s="72">
        <v>6</v>
      </c>
      <c r="I31" s="73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</row>
    <row r="32" ht="51" customHeight="1" spans="1:61">
      <c r="A32" s="74">
        <v>5.01</v>
      </c>
      <c r="B32" s="74" t="s">
        <v>120</v>
      </c>
      <c r="C32" s="87" t="s">
        <v>121</v>
      </c>
      <c r="D32" s="74" t="s">
        <v>75</v>
      </c>
      <c r="E32" s="73" t="s">
        <v>117</v>
      </c>
      <c r="F32" s="77">
        <v>46174</v>
      </c>
      <c r="G32" s="77">
        <v>46179</v>
      </c>
      <c r="H32" s="78">
        <v>6</v>
      </c>
      <c r="I32" s="73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88" t="s">
        <v>122</v>
      </c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</row>
    <row r="33" ht="53" customHeight="1" spans="1:61">
      <c r="A33" s="70" t="s">
        <v>123</v>
      </c>
      <c r="B33" s="70" t="s">
        <v>124</v>
      </c>
      <c r="C33" s="70" t="s">
        <v>125</v>
      </c>
      <c r="D33" s="70" t="s">
        <v>75</v>
      </c>
      <c r="E33" s="84" t="s">
        <v>117</v>
      </c>
      <c r="F33" s="71">
        <v>46181</v>
      </c>
      <c r="G33" s="71">
        <v>46326</v>
      </c>
      <c r="H33" s="72">
        <v>111</v>
      </c>
      <c r="I33" s="73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</row>
    <row r="34" ht="38" customHeight="1" spans="1:61">
      <c r="A34" s="74">
        <v>6.01</v>
      </c>
      <c r="B34" s="75" t="s">
        <v>126</v>
      </c>
      <c r="C34" s="76" t="s">
        <v>127</v>
      </c>
      <c r="D34" s="74" t="s">
        <v>75</v>
      </c>
      <c r="E34" s="73" t="s">
        <v>128</v>
      </c>
      <c r="F34" s="77">
        <v>46181</v>
      </c>
      <c r="G34" s="77">
        <v>46200</v>
      </c>
      <c r="H34" s="78">
        <v>15</v>
      </c>
      <c r="I34" s="73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79"/>
      <c r="AH34" s="79"/>
      <c r="AI34" s="79"/>
      <c r="AJ34" s="89"/>
      <c r="AK34" s="89"/>
      <c r="AL34" s="89"/>
      <c r="AM34" s="89"/>
      <c r="AN34" s="89"/>
      <c r="AO34" s="89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</row>
    <row r="35" ht="38" customHeight="1" spans="1:61">
      <c r="A35" s="74">
        <v>6.02</v>
      </c>
      <c r="B35" s="81"/>
      <c r="C35" s="76" t="s">
        <v>129</v>
      </c>
      <c r="D35" s="74" t="s">
        <v>75</v>
      </c>
      <c r="E35" s="73" t="s">
        <v>128</v>
      </c>
      <c r="F35" s="77">
        <v>46181</v>
      </c>
      <c r="G35" s="77">
        <v>46200</v>
      </c>
      <c r="H35" s="78">
        <v>15</v>
      </c>
      <c r="I35" s="73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79"/>
      <c r="AH35" s="79"/>
      <c r="AI35" s="79"/>
      <c r="AJ35" s="89"/>
      <c r="AK35" s="89"/>
      <c r="AL35" s="89"/>
      <c r="AM35" s="89"/>
      <c r="AN35" s="89"/>
      <c r="AO35" s="89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4"/>
      <c r="BH35" s="74"/>
      <c r="BI35" s="74"/>
    </row>
    <row r="36" ht="38" customHeight="1" spans="1:61">
      <c r="A36" s="74">
        <v>6.03</v>
      </c>
      <c r="B36" s="74" t="s">
        <v>130</v>
      </c>
      <c r="C36" s="76" t="s">
        <v>131</v>
      </c>
      <c r="D36" s="74" t="s">
        <v>75</v>
      </c>
      <c r="E36" s="73" t="s">
        <v>76</v>
      </c>
      <c r="F36" s="77">
        <v>46181</v>
      </c>
      <c r="G36" s="77">
        <v>46200</v>
      </c>
      <c r="H36" s="78">
        <v>15</v>
      </c>
      <c r="I36" s="73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79"/>
      <c r="AH36" s="79"/>
      <c r="AI36" s="79"/>
      <c r="AJ36" s="89"/>
      <c r="AK36" s="89"/>
      <c r="AL36" s="89"/>
      <c r="AM36" s="89"/>
      <c r="AN36" s="89"/>
      <c r="AO36" s="89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</row>
    <row r="37" ht="38" customHeight="1" spans="1:61">
      <c r="A37" s="74">
        <v>6.04</v>
      </c>
      <c r="B37" s="75" t="s">
        <v>132</v>
      </c>
      <c r="C37" s="76" t="s">
        <v>133</v>
      </c>
      <c r="D37" s="74" t="s">
        <v>75</v>
      </c>
      <c r="E37" s="73" t="s">
        <v>102</v>
      </c>
      <c r="F37" s="77">
        <v>46202</v>
      </c>
      <c r="G37" s="77">
        <v>46228</v>
      </c>
      <c r="H37" s="78">
        <v>22</v>
      </c>
      <c r="I37" s="73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79"/>
      <c r="AK37" s="79"/>
      <c r="AL37" s="79"/>
      <c r="AM37" s="79"/>
      <c r="AN37" s="89"/>
      <c r="AO37" s="89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</row>
    <row r="38" ht="38" customHeight="1" spans="1:61">
      <c r="A38" s="74">
        <v>6.05</v>
      </c>
      <c r="B38" s="81"/>
      <c r="C38" s="76" t="s">
        <v>134</v>
      </c>
      <c r="D38" s="74" t="s">
        <v>75</v>
      </c>
      <c r="E38" s="73" t="s">
        <v>102</v>
      </c>
      <c r="F38" s="77">
        <v>46202</v>
      </c>
      <c r="G38" s="77">
        <v>46228</v>
      </c>
      <c r="H38" s="78">
        <v>22</v>
      </c>
      <c r="I38" s="73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79"/>
      <c r="AK38" s="79"/>
      <c r="AL38" s="79"/>
      <c r="AM38" s="79"/>
      <c r="AN38" s="89"/>
      <c r="AO38" s="89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</row>
    <row r="39" ht="38" customHeight="1" spans="1:61">
      <c r="A39" s="74">
        <v>6.06</v>
      </c>
      <c r="B39" s="74" t="s">
        <v>135</v>
      </c>
      <c r="C39" s="76" t="s">
        <v>136</v>
      </c>
      <c r="D39" s="74" t="s">
        <v>75</v>
      </c>
      <c r="E39" s="73" t="s">
        <v>137</v>
      </c>
      <c r="F39" s="77">
        <v>46202</v>
      </c>
      <c r="G39" s="77">
        <v>46228</v>
      </c>
      <c r="H39" s="78">
        <v>22</v>
      </c>
      <c r="I39" s="73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79"/>
      <c r="AK39" s="79"/>
      <c r="AL39" s="79"/>
      <c r="AM39" s="79"/>
      <c r="AN39" s="89"/>
      <c r="AO39" s="89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</row>
    <row r="40" ht="38" customHeight="1" spans="1:61">
      <c r="A40" s="74">
        <v>6.07</v>
      </c>
      <c r="B40" s="75" t="s">
        <v>138</v>
      </c>
      <c r="C40" s="76" t="s">
        <v>139</v>
      </c>
      <c r="D40" s="74" t="s">
        <v>75</v>
      </c>
      <c r="E40" s="73" t="s">
        <v>128</v>
      </c>
      <c r="F40" s="77">
        <v>46230</v>
      </c>
      <c r="G40" s="77">
        <v>46256</v>
      </c>
      <c r="H40" s="78">
        <v>22</v>
      </c>
      <c r="I40" s="73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9"/>
      <c r="AO40" s="79"/>
      <c r="AP40" s="79"/>
      <c r="AQ40" s="79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</row>
    <row r="41" ht="38" customHeight="1" spans="1:61">
      <c r="A41" s="74">
        <v>6.08</v>
      </c>
      <c r="B41" s="81"/>
      <c r="C41" s="76" t="s">
        <v>140</v>
      </c>
      <c r="D41" s="74" t="s">
        <v>75</v>
      </c>
      <c r="E41" s="73" t="s">
        <v>128</v>
      </c>
      <c r="F41" s="77">
        <v>46230</v>
      </c>
      <c r="G41" s="77">
        <v>46256</v>
      </c>
      <c r="H41" s="78">
        <v>22</v>
      </c>
      <c r="I41" s="73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9"/>
      <c r="AO41" s="79"/>
      <c r="AP41" s="79"/>
      <c r="AQ41" s="79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</row>
    <row r="42" ht="38" customHeight="1" spans="1:61">
      <c r="A42" s="74">
        <v>6.09</v>
      </c>
      <c r="B42" s="74" t="s">
        <v>141</v>
      </c>
      <c r="C42" s="76" t="s">
        <v>142</v>
      </c>
      <c r="D42" s="74" t="s">
        <v>75</v>
      </c>
      <c r="E42" s="73" t="s">
        <v>76</v>
      </c>
      <c r="F42" s="77">
        <v>46230</v>
      </c>
      <c r="G42" s="77">
        <v>46256</v>
      </c>
      <c r="H42" s="78">
        <v>22</v>
      </c>
      <c r="I42" s="73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9"/>
      <c r="AO42" s="79"/>
      <c r="AP42" s="79"/>
      <c r="AQ42" s="79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</row>
    <row r="43" ht="38" customHeight="1" spans="1:61">
      <c r="A43" s="74">
        <v>6.1</v>
      </c>
      <c r="B43" s="75" t="s">
        <v>143</v>
      </c>
      <c r="C43" s="76" t="s">
        <v>144</v>
      </c>
      <c r="D43" s="74" t="s">
        <v>75</v>
      </c>
      <c r="E43" s="73" t="s">
        <v>102</v>
      </c>
      <c r="F43" s="77">
        <v>46258</v>
      </c>
      <c r="G43" s="77">
        <v>46284</v>
      </c>
      <c r="H43" s="78">
        <v>22</v>
      </c>
      <c r="I43" s="73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9"/>
      <c r="AS43" s="79"/>
      <c r="AT43" s="79"/>
      <c r="AU43" s="79"/>
      <c r="AV43" s="74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74"/>
      <c r="BH43" s="74"/>
      <c r="BI43" s="74"/>
    </row>
    <row r="44" ht="38" customHeight="1" spans="1:61">
      <c r="A44" s="74">
        <v>6.11</v>
      </c>
      <c r="B44" s="81"/>
      <c r="C44" s="76" t="s">
        <v>145</v>
      </c>
      <c r="D44" s="74" t="s">
        <v>75</v>
      </c>
      <c r="E44" s="73" t="s">
        <v>102</v>
      </c>
      <c r="F44" s="77">
        <v>46258</v>
      </c>
      <c r="G44" s="77">
        <v>46284</v>
      </c>
      <c r="H44" s="78">
        <v>22</v>
      </c>
      <c r="I44" s="73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9"/>
      <c r="AS44" s="79"/>
      <c r="AT44" s="79"/>
      <c r="AU44" s="79"/>
      <c r="AV44" s="74"/>
      <c r="AW44" s="74"/>
      <c r="AX44" s="74"/>
      <c r="AY44" s="74"/>
      <c r="AZ44" s="74"/>
      <c r="BA44" s="74"/>
      <c r="BB44" s="74"/>
      <c r="BC44" s="74"/>
      <c r="BD44" s="74"/>
      <c r="BE44" s="74"/>
      <c r="BF44" s="74"/>
      <c r="BG44" s="74"/>
      <c r="BH44" s="74"/>
      <c r="BI44" s="74"/>
    </row>
    <row r="45" ht="38" customHeight="1" spans="1:61">
      <c r="A45" s="74">
        <v>6.12</v>
      </c>
      <c r="B45" s="74" t="s">
        <v>146</v>
      </c>
      <c r="C45" s="76" t="s">
        <v>147</v>
      </c>
      <c r="D45" s="74" t="s">
        <v>75</v>
      </c>
      <c r="E45" s="73" t="s">
        <v>137</v>
      </c>
      <c r="F45" s="77">
        <v>46258</v>
      </c>
      <c r="G45" s="77">
        <v>46284</v>
      </c>
      <c r="H45" s="78">
        <v>22</v>
      </c>
      <c r="I45" s="73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9"/>
      <c r="AS45" s="79"/>
      <c r="AT45" s="79"/>
      <c r="AU45" s="79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</row>
    <row r="46" ht="38" customHeight="1" spans="1:61">
      <c r="A46" s="74">
        <v>6.13</v>
      </c>
      <c r="B46" s="75" t="s">
        <v>148</v>
      </c>
      <c r="C46" s="76" t="s">
        <v>149</v>
      </c>
      <c r="D46" s="74" t="s">
        <v>75</v>
      </c>
      <c r="E46" s="73" t="s">
        <v>128</v>
      </c>
      <c r="F46" s="77">
        <v>46286</v>
      </c>
      <c r="G46" s="77">
        <v>46326</v>
      </c>
      <c r="H46" s="78">
        <v>30</v>
      </c>
      <c r="I46" s="73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9"/>
      <c r="AW46" s="82"/>
      <c r="AX46" s="79"/>
      <c r="AY46" s="79"/>
      <c r="AZ46" s="79"/>
      <c r="BA46" s="79"/>
      <c r="BB46" s="74"/>
      <c r="BC46" s="74"/>
      <c r="BD46" s="74"/>
      <c r="BE46" s="74"/>
      <c r="BF46" s="74"/>
      <c r="BG46" s="74"/>
      <c r="BH46" s="74"/>
      <c r="BI46" s="74"/>
    </row>
    <row r="47" ht="38" customHeight="1" spans="1:61">
      <c r="A47" s="74">
        <v>6.14</v>
      </c>
      <c r="B47" s="81"/>
      <c r="C47" s="76" t="s">
        <v>150</v>
      </c>
      <c r="D47" s="74" t="s">
        <v>75</v>
      </c>
      <c r="E47" s="73" t="s">
        <v>128</v>
      </c>
      <c r="F47" s="77">
        <v>46286</v>
      </c>
      <c r="G47" s="77">
        <v>46326</v>
      </c>
      <c r="H47" s="78">
        <v>30</v>
      </c>
      <c r="I47" s="73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9"/>
      <c r="AW47" s="82"/>
      <c r="AX47" s="79"/>
      <c r="AY47" s="79"/>
      <c r="AZ47" s="79"/>
      <c r="BA47" s="79"/>
      <c r="BB47" s="74"/>
      <c r="BC47" s="74"/>
      <c r="BD47" s="74"/>
      <c r="BE47" s="74"/>
      <c r="BF47" s="74"/>
      <c r="BG47" s="74"/>
      <c r="BH47" s="74"/>
      <c r="BI47" s="74"/>
    </row>
    <row r="48" ht="38" customHeight="1" spans="1:61">
      <c r="A48" s="74">
        <v>6.15</v>
      </c>
      <c r="B48" s="74" t="s">
        <v>151</v>
      </c>
      <c r="C48" s="90" t="s">
        <v>152</v>
      </c>
      <c r="D48" s="74" t="s">
        <v>75</v>
      </c>
      <c r="E48" s="73" t="s">
        <v>76</v>
      </c>
      <c r="F48" s="77">
        <v>46286</v>
      </c>
      <c r="G48" s="77">
        <v>46326</v>
      </c>
      <c r="H48" s="78">
        <v>30</v>
      </c>
      <c r="I48" s="73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9"/>
      <c r="AW48" s="82"/>
      <c r="AX48" s="79"/>
      <c r="AY48" s="79"/>
      <c r="AZ48" s="79"/>
      <c r="BA48" s="79"/>
      <c r="BB48" s="74"/>
      <c r="BC48" s="74"/>
      <c r="BD48" s="74"/>
      <c r="BE48" s="74"/>
      <c r="BF48" s="74"/>
      <c r="BG48" s="74"/>
      <c r="BH48" s="74"/>
      <c r="BI48" s="74"/>
    </row>
    <row r="49" ht="38" customHeight="1" spans="1:61">
      <c r="A49" s="84" t="s">
        <v>153</v>
      </c>
      <c r="B49" s="84" t="s">
        <v>154</v>
      </c>
      <c r="C49" s="84" t="s">
        <v>154</v>
      </c>
      <c r="D49" s="84" t="s">
        <v>75</v>
      </c>
      <c r="E49" s="84" t="s">
        <v>102</v>
      </c>
      <c r="F49" s="71">
        <v>46328</v>
      </c>
      <c r="G49" s="71">
        <v>46332</v>
      </c>
      <c r="H49" s="72">
        <v>5</v>
      </c>
      <c r="I49" s="73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</row>
    <row r="50" ht="38" customHeight="1" spans="1:61">
      <c r="A50" s="74">
        <v>7.01</v>
      </c>
      <c r="B50" s="74" t="s">
        <v>112</v>
      </c>
      <c r="C50" s="87" t="s">
        <v>112</v>
      </c>
      <c r="D50" s="74" t="s">
        <v>75</v>
      </c>
      <c r="E50" s="73" t="s">
        <v>102</v>
      </c>
      <c r="F50" s="77">
        <v>46328</v>
      </c>
      <c r="G50" s="77">
        <v>46331</v>
      </c>
      <c r="H50" s="78">
        <v>5</v>
      </c>
      <c r="I50" s="73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9"/>
      <c r="BC50" s="74"/>
      <c r="BD50" s="74"/>
      <c r="BE50" s="74"/>
      <c r="BF50" s="74"/>
      <c r="BG50" s="74"/>
      <c r="BH50" s="74"/>
      <c r="BI50" s="74"/>
    </row>
    <row r="51" ht="38" customHeight="1" spans="1:61">
      <c r="A51" s="74">
        <v>7.02</v>
      </c>
      <c r="B51" s="74" t="s">
        <v>113</v>
      </c>
      <c r="C51" s="87" t="s">
        <v>113</v>
      </c>
      <c r="D51" s="74" t="s">
        <v>75</v>
      </c>
      <c r="E51" s="73" t="s">
        <v>102</v>
      </c>
      <c r="F51" s="77">
        <v>46328</v>
      </c>
      <c r="G51" s="77">
        <v>46331</v>
      </c>
      <c r="H51" s="78">
        <v>5</v>
      </c>
      <c r="I51" s="73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9"/>
      <c r="BC51" s="74"/>
      <c r="BD51" s="74"/>
      <c r="BE51" s="74"/>
      <c r="BF51" s="74"/>
      <c r="BG51" s="74"/>
      <c r="BH51" s="74"/>
      <c r="BI51" s="74"/>
    </row>
    <row r="52" ht="49" customHeight="1" spans="1:61">
      <c r="A52" s="70" t="s">
        <v>155</v>
      </c>
      <c r="B52" s="70" t="s">
        <v>156</v>
      </c>
      <c r="C52" s="70" t="s">
        <v>156</v>
      </c>
      <c r="D52" s="70" t="s">
        <v>75</v>
      </c>
      <c r="E52" s="84" t="s">
        <v>117</v>
      </c>
      <c r="F52" s="71">
        <v>46335</v>
      </c>
      <c r="G52" s="71">
        <v>46387</v>
      </c>
      <c r="H52" s="72">
        <v>43</v>
      </c>
      <c r="I52" s="73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</row>
    <row r="53" ht="49" customHeight="1" spans="1:61">
      <c r="A53" s="74">
        <v>8.01</v>
      </c>
      <c r="B53" s="74" t="s">
        <v>116</v>
      </c>
      <c r="C53" s="87" t="s">
        <v>116</v>
      </c>
      <c r="D53" s="74" t="s">
        <v>75</v>
      </c>
      <c r="E53" s="73" t="s">
        <v>117</v>
      </c>
      <c r="F53" s="77">
        <v>46335</v>
      </c>
      <c r="G53" s="77">
        <v>46340</v>
      </c>
      <c r="H53" s="78">
        <v>6</v>
      </c>
      <c r="I53" s="73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88" t="s">
        <v>122</v>
      </c>
      <c r="BD53" s="74"/>
      <c r="BE53" s="74"/>
      <c r="BF53" s="74"/>
      <c r="BG53" s="74"/>
      <c r="BH53" s="74"/>
      <c r="BI53" s="74"/>
    </row>
    <row r="54" ht="49" customHeight="1" spans="1:61">
      <c r="A54" s="74">
        <v>8.02</v>
      </c>
      <c r="B54" s="74" t="s">
        <v>118</v>
      </c>
      <c r="C54" s="87" t="s">
        <v>118</v>
      </c>
      <c r="D54" s="74" t="s">
        <v>75</v>
      </c>
      <c r="E54" s="73" t="s">
        <v>117</v>
      </c>
      <c r="F54" s="77">
        <v>46342</v>
      </c>
      <c r="G54" s="77">
        <v>46387</v>
      </c>
      <c r="H54" s="78">
        <v>37</v>
      </c>
      <c r="I54" s="73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9"/>
      <c r="BE54" s="79"/>
      <c r="BF54" s="79"/>
      <c r="BG54" s="79"/>
      <c r="BH54" s="79"/>
      <c r="BI54" s="79"/>
    </row>
    <row r="55" ht="49" customHeight="1" spans="1:61">
      <c r="A55" s="70" t="s">
        <v>157</v>
      </c>
      <c r="B55" s="70" t="s">
        <v>158</v>
      </c>
      <c r="C55" s="70" t="s">
        <v>159</v>
      </c>
      <c r="D55" s="70" t="s">
        <v>75</v>
      </c>
      <c r="E55" s="84" t="s">
        <v>117</v>
      </c>
      <c r="F55" s="71">
        <v>46342</v>
      </c>
      <c r="G55" s="71">
        <v>46387</v>
      </c>
      <c r="H55" s="72">
        <v>36</v>
      </c>
      <c r="I55" s="73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</row>
    <row r="56" ht="49" customHeight="1" spans="1:61">
      <c r="A56" s="74">
        <v>9.01</v>
      </c>
      <c r="B56" s="74" t="s">
        <v>158</v>
      </c>
      <c r="C56" s="87" t="s">
        <v>159</v>
      </c>
      <c r="D56" s="74" t="s">
        <v>75</v>
      </c>
      <c r="E56" s="73" t="s">
        <v>117</v>
      </c>
      <c r="F56" s="77">
        <v>46342</v>
      </c>
      <c r="G56" s="77">
        <v>46387</v>
      </c>
      <c r="H56" s="78">
        <v>36</v>
      </c>
      <c r="I56" s="73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9"/>
      <c r="BE56" s="79"/>
      <c r="BF56" s="79"/>
      <c r="BG56" s="79"/>
      <c r="BH56" s="79"/>
      <c r="BI56" s="79"/>
    </row>
  </sheetData>
  <autoFilter xmlns:etc="http://www.wps.cn/officeDocument/2017/etCustomData" ref="A1:H56" etc:filterBottomFollowUsedRange="0">
    <extLst/>
  </autoFilter>
  <mergeCells count="29">
    <mergeCell ref="J1:N1"/>
    <mergeCell ref="O1:R1"/>
    <mergeCell ref="S1:V1"/>
    <mergeCell ref="W1:AA1"/>
    <mergeCell ref="AB1:AE1"/>
    <mergeCell ref="AF1:AI1"/>
    <mergeCell ref="AJ1:AN1"/>
    <mergeCell ref="AO1:AR1"/>
    <mergeCell ref="AS1:AV1"/>
    <mergeCell ref="AW1:BA1"/>
    <mergeCell ref="BB1:BE1"/>
    <mergeCell ref="BF1:BI1"/>
    <mergeCell ref="A1:A2"/>
    <mergeCell ref="B1:B2"/>
    <mergeCell ref="B4:B9"/>
    <mergeCell ref="B10:B13"/>
    <mergeCell ref="B19:B21"/>
    <mergeCell ref="B34:B35"/>
    <mergeCell ref="B37:B38"/>
    <mergeCell ref="B40:B41"/>
    <mergeCell ref="B43:B44"/>
    <mergeCell ref="B46:B47"/>
    <mergeCell ref="C1:C2"/>
    <mergeCell ref="D1:D2"/>
    <mergeCell ref="E1:E2"/>
    <mergeCell ref="F1:F2"/>
    <mergeCell ref="G1:G2"/>
    <mergeCell ref="H1:H2"/>
    <mergeCell ref="I1:I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4"/>
  <sheetViews>
    <sheetView workbookViewId="0">
      <selection activeCell="G5" sqref="G5"/>
    </sheetView>
  </sheetViews>
  <sheetFormatPr defaultColWidth="9" defaultRowHeight="14.25"/>
  <cols>
    <col min="1" max="6" width="23.5" style="34" customWidth="1"/>
    <col min="7" max="7" width="34.25" style="34" customWidth="1"/>
    <col min="8" max="100" width="23.5" style="34" customWidth="1"/>
    <col min="101" max="16382" width="9" style="34"/>
  </cols>
  <sheetData>
    <row r="1" s="34" customFormat="1" ht="36" customHeight="1" spans="1:21">
      <c r="A1" s="35" t="s">
        <v>160</v>
      </c>
      <c r="B1" s="35" t="s">
        <v>161</v>
      </c>
      <c r="C1" s="35" t="s">
        <v>162</v>
      </c>
      <c r="D1" s="35" t="s">
        <v>163</v>
      </c>
      <c r="E1" s="35" t="s">
        <v>164</v>
      </c>
      <c r="F1" s="35" t="s">
        <v>165</v>
      </c>
      <c r="G1" s="36" t="s">
        <v>166</v>
      </c>
      <c r="H1" s="35" t="s">
        <v>167</v>
      </c>
      <c r="I1" s="35" t="s">
        <v>168</v>
      </c>
    </row>
    <row r="2" s="34" customFormat="1" ht="36" customHeight="1" spans="1:21">
      <c r="A2" s="37" t="s">
        <v>169</v>
      </c>
      <c r="B2" s="37" t="s">
        <v>170</v>
      </c>
      <c r="C2" s="37">
        <v>7653</v>
      </c>
      <c r="D2" s="37" t="s">
        <v>171</v>
      </c>
      <c r="E2" s="37">
        <v>280</v>
      </c>
      <c r="F2" s="37" t="s">
        <v>172</v>
      </c>
      <c r="G2" s="37">
        <v>5808</v>
      </c>
      <c r="H2" s="37" t="s">
        <v>173</v>
      </c>
      <c r="I2" s="37" t="s">
        <v>174</v>
      </c>
    </row>
    <row r="3" s="34" customFormat="1" ht="36" customHeight="1"/>
    <row r="4" s="34" customFormat="1" ht="36" customHeight="1" spans="1:21">
      <c r="A4" s="38"/>
      <c r="B4" s="38"/>
      <c r="C4" s="38"/>
      <c r="D4" s="38"/>
      <c r="E4" s="38"/>
      <c r="F4" s="38"/>
      <c r="G4" s="38"/>
      <c r="H4" s="38"/>
      <c r="I4" s="38"/>
    </row>
    <row r="5" s="34" customFormat="1" ht="36" customHeight="1" spans="1:21">
      <c r="A5" s="39" t="s">
        <v>175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="34" customFormat="1" ht="36" customHeight="1" spans="1:21">
      <c r="A6" s="40" t="s">
        <v>176</v>
      </c>
      <c r="B6" s="41" t="s">
        <v>177</v>
      </c>
      <c r="C6" s="41" t="s">
        <v>178</v>
      </c>
      <c r="D6" s="41" t="s">
        <v>179</v>
      </c>
      <c r="E6" s="41" t="s">
        <v>180</v>
      </c>
    </row>
    <row r="7" s="34" customFormat="1" ht="36" customHeight="1" spans="1:21">
      <c r="A7" s="41" t="s">
        <v>181</v>
      </c>
      <c r="B7" s="13">
        <v>280</v>
      </c>
      <c r="C7" s="13">
        <v>273</v>
      </c>
      <c r="D7" s="13" t="s">
        <v>172</v>
      </c>
      <c r="E7" s="13" t="s">
        <v>182</v>
      </c>
    </row>
    <row r="8" s="34" customFormat="1" ht="36" customHeight="1" spans="1:21">
      <c r="A8" s="41" t="s">
        <v>183</v>
      </c>
      <c r="B8" s="13">
        <v>230</v>
      </c>
      <c r="C8" s="13">
        <v>225</v>
      </c>
      <c r="D8" s="13" t="s">
        <v>184</v>
      </c>
      <c r="E8" s="13" t="s">
        <v>185</v>
      </c>
    </row>
    <row r="9" s="34" customFormat="1" ht="36" customHeight="1" spans="1:21">
      <c r="A9" s="39" t="s">
        <v>186</v>
      </c>
      <c r="B9" s="34"/>
      <c r="C9" s="42"/>
      <c r="D9" s="42"/>
      <c r="E9" s="42"/>
      <c r="F9" s="42"/>
      <c r="G9" s="42"/>
      <c r="H9" s="42"/>
    </row>
    <row r="10" s="34" customFormat="1" ht="36" customHeight="1" spans="1:21">
      <c r="A10" s="40" t="s">
        <v>176</v>
      </c>
      <c r="B10" s="40" t="s">
        <v>187</v>
      </c>
      <c r="C10" s="40" t="s">
        <v>188</v>
      </c>
      <c r="D10" s="40" t="s">
        <v>189</v>
      </c>
      <c r="E10" s="34"/>
      <c r="F10" s="34"/>
      <c r="G10" s="34"/>
      <c r="H10" s="34"/>
      <c r="I10" s="34"/>
      <c r="J10" s="34"/>
      <c r="K10" s="34"/>
      <c r="L10" s="43"/>
      <c r="M10" s="43"/>
      <c r="N10" s="43"/>
      <c r="O10" s="43"/>
      <c r="P10" s="43"/>
      <c r="Q10" s="43"/>
      <c r="R10" s="43"/>
      <c r="S10" s="43"/>
      <c r="T10" s="43"/>
      <c r="U10" s="43"/>
    </row>
    <row r="11" s="34" customFormat="1" ht="36" customHeight="1" spans="1:21">
      <c r="A11" s="41" t="s">
        <v>190</v>
      </c>
      <c r="B11" s="13">
        <v>119</v>
      </c>
      <c r="C11" s="13">
        <v>35</v>
      </c>
      <c r="D11" s="13">
        <v>84</v>
      </c>
      <c r="E11" s="34"/>
      <c r="F11" s="34"/>
      <c r="G11" s="34"/>
      <c r="H11" s="34"/>
      <c r="I11" s="34"/>
      <c r="J11" s="34"/>
      <c r="K11" s="3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s="34" customFormat="1" ht="36" customHeight="1" spans="1:21">
      <c r="A12" s="45"/>
      <c r="B12" s="45"/>
      <c r="C12" s="45"/>
      <c r="D12" s="45"/>
      <c r="E12" s="45"/>
      <c r="F12" s="4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="34" customFormat="1" ht="25.5" spans="1:21">
      <c r="A13" s="39" t="s">
        <v>191</v>
      </c>
      <c r="B13" s="3"/>
      <c r="C13" s="3"/>
      <c r="D13" s="3"/>
      <c r="E13" s="45"/>
      <c r="F13" s="4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>
      <c r="A14" s="40" t="s">
        <v>176</v>
      </c>
      <c r="B14" s="40" t="s">
        <v>187</v>
      </c>
      <c r="C14" s="41" t="s">
        <v>192</v>
      </c>
      <c r="D14" s="40" t="s">
        <v>193</v>
      </c>
      <c r="E14" s="40" t="s">
        <v>194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>
      <c r="A15" s="41" t="s">
        <v>190</v>
      </c>
      <c r="B15" s="13">
        <v>694</v>
      </c>
      <c r="C15" s="13">
        <v>5</v>
      </c>
      <c r="D15" s="13">
        <v>680</v>
      </c>
      <c r="E15" s="13">
        <v>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26.25" spans="1:21">
      <c r="A16" s="45"/>
      <c r="B16" s="45"/>
      <c r="C16" s="45"/>
      <c r="D16" s="45"/>
      <c r="E16" s="45"/>
      <c r="F16" s="4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25.5" spans="1:21">
      <c r="A17" s="46" t="s">
        <v>195</v>
      </c>
      <c r="B17" s="45"/>
      <c r="C17" s="45"/>
      <c r="D17" s="45"/>
      <c r="E17" s="45"/>
      <c r="F17" s="4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ht="25.5" spans="1:21">
      <c r="A18" s="39" t="s">
        <v>196</v>
      </c>
      <c r="B18" s="47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</row>
    <row r="19" ht="27" spans="1:21">
      <c r="A19" s="40" t="s">
        <v>176</v>
      </c>
      <c r="B19" s="40" t="s">
        <v>187</v>
      </c>
      <c r="C19" s="40" t="s">
        <v>197</v>
      </c>
      <c r="D19" s="40" t="s">
        <v>198</v>
      </c>
      <c r="E19" s="40" t="s">
        <v>199</v>
      </c>
      <c r="F19" s="40" t="s">
        <v>200</v>
      </c>
      <c r="G19" s="40" t="s">
        <v>201</v>
      </c>
      <c r="H19" s="40" t="s">
        <v>202</v>
      </c>
      <c r="I19" s="40" t="s">
        <v>203</v>
      </c>
      <c r="J19" s="40" t="s">
        <v>204</v>
      </c>
      <c r="K19" s="40" t="s">
        <v>205</v>
      </c>
      <c r="L19" s="40" t="s">
        <v>206</v>
      </c>
      <c r="M19" s="40" t="s">
        <v>207</v>
      </c>
      <c r="N19" s="40" t="s">
        <v>208</v>
      </c>
      <c r="O19" s="40" t="s">
        <v>209</v>
      </c>
      <c r="P19" s="40" t="s">
        <v>210</v>
      </c>
      <c r="Q19" s="40" t="s">
        <v>211</v>
      </c>
      <c r="R19" s="40" t="s">
        <v>212</v>
      </c>
      <c r="S19" s="40" t="s">
        <v>213</v>
      </c>
    </row>
    <row r="20" spans="1:21">
      <c r="A20" s="41" t="s">
        <v>190</v>
      </c>
      <c r="B20" s="13">
        <v>2372</v>
      </c>
      <c r="C20" s="13">
        <v>208</v>
      </c>
      <c r="D20" s="13">
        <v>192</v>
      </c>
      <c r="E20" s="13">
        <v>249</v>
      </c>
      <c r="F20" s="13">
        <v>140</v>
      </c>
      <c r="G20" s="13">
        <v>1</v>
      </c>
      <c r="H20" s="13">
        <v>38</v>
      </c>
      <c r="I20" s="13">
        <v>2</v>
      </c>
      <c r="J20" s="13">
        <v>228</v>
      </c>
      <c r="K20" s="13">
        <v>110</v>
      </c>
      <c r="L20" s="13">
        <v>664</v>
      </c>
      <c r="M20" s="13">
        <v>197</v>
      </c>
      <c r="N20" s="13">
        <v>64</v>
      </c>
      <c r="O20" s="13">
        <v>25</v>
      </c>
      <c r="P20" s="13">
        <v>16</v>
      </c>
      <c r="Q20" s="13">
        <v>1</v>
      </c>
      <c r="R20" s="13">
        <v>1</v>
      </c>
      <c r="S20" s="13">
        <v>236</v>
      </c>
    </row>
    <row r="21" spans="1:21">
      <c r="A21" s="41" t="s">
        <v>183</v>
      </c>
      <c r="B21" s="13">
        <v>2222</v>
      </c>
      <c r="C21" s="13">
        <v>159</v>
      </c>
      <c r="D21" s="13">
        <v>192</v>
      </c>
      <c r="E21" s="13">
        <v>164</v>
      </c>
      <c r="F21" s="13">
        <v>134</v>
      </c>
      <c r="G21" s="13">
        <v>1</v>
      </c>
      <c r="H21" s="13">
        <v>37</v>
      </c>
      <c r="I21" s="13">
        <v>2</v>
      </c>
      <c r="J21" s="13">
        <v>219</v>
      </c>
      <c r="K21" s="13">
        <v>110</v>
      </c>
      <c r="L21" s="13">
        <v>664</v>
      </c>
      <c r="M21" s="13">
        <v>197</v>
      </c>
      <c r="N21" s="13">
        <v>64</v>
      </c>
      <c r="O21" s="13">
        <v>25</v>
      </c>
      <c r="P21" s="13">
        <v>16</v>
      </c>
      <c r="Q21" s="13">
        <v>1</v>
      </c>
      <c r="R21" s="13">
        <v>1</v>
      </c>
      <c r="S21" s="13">
        <v>236</v>
      </c>
      <c r="T21" s="48"/>
      <c r="U21" s="48"/>
    </row>
    <row r="22" ht="18" spans="1:21">
      <c r="A22" s="39" t="s">
        <v>214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>
      <c r="A23" s="41" t="s">
        <v>176</v>
      </c>
      <c r="B23" s="41" t="s">
        <v>187</v>
      </c>
      <c r="C23" s="41" t="s">
        <v>215</v>
      </c>
      <c r="D23" s="41" t="s">
        <v>216</v>
      </c>
      <c r="H23" s="49"/>
      <c r="N23" s="3"/>
      <c r="O23" s="3"/>
      <c r="P23" s="3"/>
      <c r="Q23" s="3"/>
      <c r="R23" s="3"/>
      <c r="S23" s="3"/>
      <c r="T23" s="3"/>
      <c r="U23" s="3"/>
    </row>
    <row r="24" spans="1:21">
      <c r="A24" s="41" t="s">
        <v>190</v>
      </c>
      <c r="B24" s="13">
        <v>1981</v>
      </c>
      <c r="C24" s="13">
        <v>1231</v>
      </c>
      <c r="D24" s="13">
        <v>750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>
      <c r="A25" s="41" t="s">
        <v>183</v>
      </c>
      <c r="B25" s="13">
        <v>1727</v>
      </c>
      <c r="C25" s="13">
        <v>1044</v>
      </c>
      <c r="D25" s="13">
        <v>683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8" spans="1:21">
      <c r="A26" s="39" t="s">
        <v>217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27" spans="1:21">
      <c r="A27" s="41" t="s">
        <v>176</v>
      </c>
      <c r="B27" s="41" t="s">
        <v>187</v>
      </c>
      <c r="C27" s="41" t="s">
        <v>218</v>
      </c>
      <c r="D27" s="41" t="s">
        <v>219</v>
      </c>
      <c r="E27" s="40" t="s">
        <v>220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>
      <c r="A28" s="41" t="s">
        <v>190</v>
      </c>
      <c r="B28" s="13">
        <v>409</v>
      </c>
      <c r="C28" s="13">
        <v>385</v>
      </c>
      <c r="D28" s="13">
        <v>22</v>
      </c>
      <c r="E28" s="13">
        <v>2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8" spans="1:21">
      <c r="A29" s="39" t="s">
        <v>221</v>
      </c>
      <c r="B29" s="3"/>
      <c r="C29" s="50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>
      <c r="A30" s="51" t="s">
        <v>176</v>
      </c>
      <c r="B30" s="41" t="s">
        <v>187</v>
      </c>
      <c r="C30" s="41" t="s">
        <v>222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>
      <c r="A31" s="41" t="s">
        <v>223</v>
      </c>
      <c r="B31" s="13">
        <v>5456</v>
      </c>
      <c r="C31" s="13">
        <v>1443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>
      <c r="A32" s="41" t="s">
        <v>224</v>
      </c>
      <c r="B32" s="13">
        <v>5052</v>
      </c>
      <c r="C32" s="13">
        <v>659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8" spans="1:21">
      <c r="A33" s="52" t="s">
        <v>225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51" t="s">
        <v>176</v>
      </c>
      <c r="B34" s="41" t="s">
        <v>187</v>
      </c>
      <c r="C34" s="41" t="s">
        <v>222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41" t="s">
        <v>226</v>
      </c>
      <c r="B35" s="13">
        <v>3152</v>
      </c>
      <c r="C35" s="13">
        <v>1059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41" t="s">
        <v>227</v>
      </c>
      <c r="B36" s="13">
        <v>1761</v>
      </c>
      <c r="C36" s="13">
        <v>607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5" spans="1:21">
      <c r="A37" s="3"/>
      <c r="B37" s="3"/>
      <c r="C37" s="50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20.25" spans="1:21">
      <c r="A38" s="46" t="s">
        <v>228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8" spans="1:21">
      <c r="A39" s="39" t="s">
        <v>196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>
      <c r="A40" s="53" t="s">
        <v>176</v>
      </c>
      <c r="B40" s="41" t="s">
        <v>187</v>
      </c>
      <c r="C40" s="41" t="s">
        <v>229</v>
      </c>
      <c r="D40" s="41" t="s">
        <v>230</v>
      </c>
      <c r="E40" s="41" t="s">
        <v>231</v>
      </c>
      <c r="F40" s="41" t="s">
        <v>232</v>
      </c>
      <c r="G40" s="41" t="s">
        <v>233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41" t="s">
        <v>190</v>
      </c>
      <c r="B41" s="13">
        <v>491</v>
      </c>
      <c r="C41" s="13">
        <v>225</v>
      </c>
      <c r="D41" s="13">
        <v>164</v>
      </c>
      <c r="E41" s="13">
        <v>10</v>
      </c>
      <c r="F41" s="13">
        <v>6</v>
      </c>
      <c r="G41" s="13">
        <v>86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41" t="s">
        <v>183</v>
      </c>
      <c r="B42" s="13">
        <v>386</v>
      </c>
      <c r="C42" s="13">
        <v>158</v>
      </c>
      <c r="D42" s="13">
        <v>145</v>
      </c>
      <c r="E42" s="13">
        <v>9</v>
      </c>
      <c r="F42" s="13">
        <v>6</v>
      </c>
      <c r="G42" s="13">
        <v>68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8" spans="1:21">
      <c r="A43" s="39" t="s">
        <v>214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>
      <c r="A44" s="41" t="s">
        <v>176</v>
      </c>
      <c r="B44" s="41" t="s">
        <v>187</v>
      </c>
      <c r="C44" s="41" t="s">
        <v>234</v>
      </c>
      <c r="D44" s="41" t="s">
        <v>235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>
      <c r="A45" s="41" t="s">
        <v>190</v>
      </c>
      <c r="B45" s="13">
        <v>637</v>
      </c>
      <c r="C45" s="13">
        <v>145</v>
      </c>
      <c r="D45" s="13">
        <v>492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41" t="s">
        <v>183</v>
      </c>
      <c r="B46" s="13">
        <v>540</v>
      </c>
      <c r="C46" s="13">
        <v>124</v>
      </c>
      <c r="D46" s="13">
        <v>416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18" spans="1:21">
      <c r="A47" s="39" t="s">
        <v>217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41" t="s">
        <v>176</v>
      </c>
      <c r="B48" s="41" t="s">
        <v>187</v>
      </c>
      <c r="C48" s="41" t="s">
        <v>236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>
      <c r="A49" s="41" t="s">
        <v>190</v>
      </c>
      <c r="B49" s="13">
        <v>49</v>
      </c>
      <c r="C49" s="13">
        <v>49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8" spans="1:21">
      <c r="A50" s="54" t="s">
        <v>221</v>
      </c>
      <c r="B50" s="41" t="s">
        <v>187</v>
      </c>
      <c r="C50" s="41" t="s">
        <v>222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41" t="s">
        <v>223</v>
      </c>
      <c r="B51" s="13">
        <v>1177</v>
      </c>
      <c r="C51" s="13">
        <v>794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41" t="s">
        <v>237</v>
      </c>
      <c r="B52" s="13">
        <v>975</v>
      </c>
      <c r="C52" s="13">
        <v>656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8" spans="1:21">
      <c r="A53" s="55" t="s">
        <v>225</v>
      </c>
      <c r="B53" s="41" t="s">
        <v>187</v>
      </c>
      <c r="C53" s="41" t="s">
        <v>222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41" t="s">
        <v>226</v>
      </c>
      <c r="B54" s="13">
        <v>586</v>
      </c>
      <c r="C54" s="13">
        <v>457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>
      <c r="A55" s="41" t="s">
        <v>227</v>
      </c>
      <c r="B55" s="13">
        <v>487</v>
      </c>
      <c r="C55" s="13">
        <v>386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15" spans="1:21">
      <c r="A56" s="3"/>
      <c r="B56" s="3"/>
      <c r="C56" s="3"/>
    </row>
    <row r="57" ht="20.25" spans="1:21">
      <c r="A57" s="46" t="s">
        <v>238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18" spans="1:21">
      <c r="A58" s="39" t="s">
        <v>196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40" t="s">
        <v>176</v>
      </c>
      <c r="B59" s="41" t="s">
        <v>187</v>
      </c>
      <c r="C59" s="41" t="s">
        <v>201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41" t="s">
        <v>190</v>
      </c>
      <c r="B60" s="13">
        <v>86</v>
      </c>
      <c r="C60" s="13">
        <v>86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>
      <c r="A61" s="41" t="s">
        <v>183</v>
      </c>
      <c r="B61" s="13">
        <v>64</v>
      </c>
      <c r="C61" s="13">
        <v>64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18" spans="1:21">
      <c r="A62" s="39" t="s">
        <v>214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>
      <c r="A63" s="41" t="s">
        <v>176</v>
      </c>
      <c r="B63" s="41" t="s">
        <v>187</v>
      </c>
      <c r="C63" s="41" t="s">
        <v>239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>
      <c r="A64" s="41" t="s">
        <v>190</v>
      </c>
      <c r="B64" s="13">
        <v>291</v>
      </c>
      <c r="C64" s="13">
        <v>291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>
      <c r="A65" s="41" t="s">
        <v>183</v>
      </c>
      <c r="B65" s="13">
        <v>275</v>
      </c>
      <c r="C65" s="13">
        <v>275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18" spans="1:21">
      <c r="A66" s="39" t="s">
        <v>217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>
      <c r="A67" s="41" t="s">
        <v>176</v>
      </c>
      <c r="B67" s="41" t="s">
        <v>187</v>
      </c>
      <c r="C67" s="41" t="s">
        <v>240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>
      <c r="A68" s="41" t="s">
        <v>190</v>
      </c>
      <c r="B68" s="13">
        <v>42</v>
      </c>
      <c r="C68" s="13">
        <v>42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18" spans="1:21">
      <c r="A69" s="39" t="s">
        <v>221</v>
      </c>
      <c r="B69" s="41" t="s">
        <v>187</v>
      </c>
      <c r="C69" s="41" t="s">
        <v>222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>
      <c r="A70" s="41" t="s">
        <v>223</v>
      </c>
      <c r="B70" s="13">
        <v>419</v>
      </c>
      <c r="C70" s="13">
        <v>4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>
      <c r="A71" s="41" t="s">
        <v>237</v>
      </c>
      <c r="B71" s="13">
        <v>381</v>
      </c>
      <c r="C71" s="13">
        <v>4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18" spans="1:21">
      <c r="A72" s="52" t="s">
        <v>225</v>
      </c>
      <c r="B72" s="41" t="s">
        <v>187</v>
      </c>
      <c r="C72" s="41" t="s">
        <v>222</v>
      </c>
      <c r="D72" s="41" t="s">
        <v>241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>
      <c r="A73" s="41" t="s">
        <v>226</v>
      </c>
      <c r="B73" s="13">
        <v>285</v>
      </c>
      <c r="C73" s="13">
        <v>4</v>
      </c>
      <c r="D73" s="13">
        <v>1741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>
      <c r="A74" s="41" t="s">
        <v>227</v>
      </c>
      <c r="B74" s="13">
        <v>218</v>
      </c>
      <c r="C74" s="13">
        <v>1</v>
      </c>
      <c r="D74" s="13">
        <v>1096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18" spans="1:21">
      <c r="A76" s="39" t="s">
        <v>242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>
      <c r="A77" s="40" t="s">
        <v>176</v>
      </c>
      <c r="B77" s="40" t="s">
        <v>243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>
      <c r="A78" s="41" t="s">
        <v>190</v>
      </c>
      <c r="B78" s="13">
        <v>11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</sheetData>
  <hyperlinks>
    <hyperlink ref="D44" location="#流程表单代码块!A1" display="流程表单代码块"/>
    <hyperlink ref="D63" location="#流程表单代码块!A1"/>
    <hyperlink ref="G23" location="#流程表单代码块!A1"/>
    <hyperlink ref="H23" location="#流程表单代码块!A1"/>
    <hyperlink ref="I23" location="#流程表单代码块!A1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3"/>
  <sheetViews>
    <sheetView topLeftCell="A25" workbookViewId="0">
      <selection activeCell="H1" sqref="H1:J8"/>
    </sheetView>
  </sheetViews>
  <sheetFormatPr defaultColWidth="9" defaultRowHeight="14.25"/>
  <cols>
    <col min="1" max="1" width="18.15" style="1" customWidth="1"/>
    <col min="2" max="2" width="16.625" style="2" customWidth="1"/>
    <col min="3" max="3" width="16.625" style="1" customWidth="1"/>
    <col min="4" max="4" width="19.875" style="1" customWidth="1"/>
    <col min="5" max="5" width="16.625" style="1" customWidth="1"/>
    <col min="6" max="6" width="22.75" style="2" customWidth="1"/>
    <col min="7" max="7" width="10.125" style="1" customWidth="1"/>
    <col min="8" max="10" width="18.875" style="1" customWidth="1"/>
    <col min="11" max="11" width="16" style="1" customWidth="1"/>
    <col min="12" max="12" width="11.75" style="1" customWidth="1"/>
    <col min="13" max="13" width="15.125" style="1" customWidth="1"/>
    <col min="14" max="16381" width="9" style="1"/>
    <col min="16382" max="16384" width="9" style="3"/>
  </cols>
  <sheetData>
    <row r="1" s="1" customFormat="1" ht="15" customHeight="1" spans="1:10">
      <c r="A1" s="4" t="s">
        <v>244</v>
      </c>
      <c r="B1" s="5"/>
      <c r="C1" s="5"/>
      <c r="D1" s="5"/>
      <c r="E1" s="5"/>
      <c r="F1" s="5"/>
      <c r="H1" s="6" t="s">
        <v>245</v>
      </c>
      <c r="I1" s="6"/>
      <c r="J1" s="6"/>
    </row>
    <row r="2" s="1" customFormat="1" ht="15" customHeight="1" spans="1:10">
      <c r="A2" s="7" t="s">
        <v>246</v>
      </c>
      <c r="B2" s="8">
        <v>5456</v>
      </c>
      <c r="C2" s="8"/>
      <c r="D2" s="8"/>
      <c r="E2" s="8"/>
      <c r="F2" s="8"/>
      <c r="H2" s="6"/>
      <c r="I2" s="6"/>
      <c r="J2" s="6"/>
    </row>
    <row r="3" s="1" customFormat="1" ht="15" customHeight="1" spans="1:10">
      <c r="A3" s="9" t="s">
        <v>247</v>
      </c>
      <c r="B3" s="10"/>
      <c r="C3" s="10"/>
      <c r="D3" s="10"/>
      <c r="E3" s="10"/>
      <c r="F3" s="10"/>
      <c r="H3" s="6"/>
      <c r="I3" s="6"/>
      <c r="J3" s="6"/>
    </row>
    <row r="4" s="1" customFormat="1" ht="15" customHeight="1" spans="1:10">
      <c r="A4" s="11" t="s">
        <v>248</v>
      </c>
      <c r="B4" s="12" t="s">
        <v>249</v>
      </c>
      <c r="C4" s="12" t="s">
        <v>250</v>
      </c>
      <c r="D4" s="12" t="s">
        <v>222</v>
      </c>
      <c r="E4" s="12" t="s">
        <v>251</v>
      </c>
      <c r="F4" s="12" t="s">
        <v>252</v>
      </c>
      <c r="G4" s="1"/>
      <c r="H4" s="6"/>
      <c r="I4" s="6"/>
      <c r="J4" s="6"/>
    </row>
    <row r="5" s="1" customFormat="1" ht="15" customHeight="1" spans="1:10">
      <c r="A5" s="11" t="s">
        <v>253</v>
      </c>
      <c r="B5" s="12">
        <v>44</v>
      </c>
      <c r="C5" s="12">
        <v>12</v>
      </c>
      <c r="D5" s="12">
        <v>32</v>
      </c>
      <c r="E5" s="13">
        <v>2</v>
      </c>
      <c r="F5" s="12">
        <v>8</v>
      </c>
      <c r="G5" s="1"/>
      <c r="H5" s="6"/>
      <c r="I5" s="6"/>
      <c r="J5" s="6"/>
    </row>
    <row r="6" s="1" customFormat="1" ht="15" customHeight="1" spans="1:10">
      <c r="A6" s="11" t="s">
        <v>254</v>
      </c>
      <c r="B6" s="13">
        <v>361</v>
      </c>
      <c r="C6" s="13">
        <v>202</v>
      </c>
      <c r="D6" s="13">
        <v>159</v>
      </c>
      <c r="E6" s="13">
        <v>0.8</v>
      </c>
      <c r="F6" s="13">
        <v>15.9</v>
      </c>
      <c r="G6" s="1"/>
      <c r="H6" s="6"/>
      <c r="I6" s="6"/>
      <c r="J6" s="6"/>
    </row>
    <row r="7" s="1" customFormat="1" ht="15" customHeight="1" spans="1:10">
      <c r="A7" s="11" t="s">
        <v>255</v>
      </c>
      <c r="B7" s="13">
        <v>176</v>
      </c>
      <c r="C7" s="13">
        <v>119</v>
      </c>
      <c r="D7" s="13">
        <v>57</v>
      </c>
      <c r="E7" s="13">
        <v>0.4</v>
      </c>
      <c r="F7" s="13">
        <v>2.9</v>
      </c>
      <c r="H7" s="6"/>
      <c r="I7" s="6"/>
      <c r="J7" s="6"/>
    </row>
    <row r="8" s="1" customFormat="1" ht="15" customHeight="1" spans="1:10">
      <c r="A8" s="11" t="s">
        <v>256</v>
      </c>
      <c r="B8" s="13">
        <v>2615</v>
      </c>
      <c r="C8" s="13">
        <v>1772</v>
      </c>
      <c r="D8" s="13">
        <v>843</v>
      </c>
      <c r="E8" s="13">
        <v>0.16</v>
      </c>
      <c r="F8" s="13">
        <v>16.9</v>
      </c>
      <c r="H8" s="6"/>
      <c r="I8" s="6"/>
      <c r="J8" s="6"/>
    </row>
    <row r="9" s="1" customFormat="1" ht="15" customHeight="1" spans="1:10">
      <c r="A9" s="11" t="s">
        <v>257</v>
      </c>
      <c r="B9" s="13">
        <v>3196</v>
      </c>
      <c r="C9" s="13">
        <v>2105</v>
      </c>
      <c r="D9" s="13">
        <v>1091</v>
      </c>
      <c r="E9" s="14"/>
      <c r="F9" s="13">
        <v>43.6</v>
      </c>
      <c r="H9" s="15"/>
      <c r="I9" s="15"/>
      <c r="J9" s="15"/>
    </row>
    <row r="10" s="1" customFormat="1" ht="15" customHeight="1" spans="1:10">
      <c r="A10" s="16" t="s">
        <v>258</v>
      </c>
      <c r="B10" s="17"/>
      <c r="C10" s="18"/>
      <c r="D10" s="18"/>
      <c r="E10" s="18"/>
      <c r="F10" s="19"/>
      <c r="H10" s="15"/>
      <c r="I10" s="15"/>
      <c r="J10" s="15"/>
    </row>
    <row r="11" s="1" customFormat="1" ht="15" customHeight="1" spans="1:10">
      <c r="A11" s="11" t="s">
        <v>248</v>
      </c>
      <c r="B11" s="12" t="s">
        <v>249</v>
      </c>
      <c r="C11" s="12" t="s">
        <v>250</v>
      </c>
      <c r="D11" s="12" t="s">
        <v>222</v>
      </c>
      <c r="E11" s="12" t="s">
        <v>251</v>
      </c>
      <c r="F11" s="12" t="s">
        <v>252</v>
      </c>
      <c r="H11" s="15"/>
      <c r="I11" s="15"/>
      <c r="J11" s="15"/>
    </row>
    <row r="12" s="1" customFormat="1" ht="15" customHeight="1" spans="1:10">
      <c r="A12" s="11" t="s">
        <v>253</v>
      </c>
      <c r="B12" s="12">
        <v>0</v>
      </c>
      <c r="C12" s="12">
        <v>0</v>
      </c>
      <c r="D12" s="12">
        <v>0</v>
      </c>
      <c r="E12" s="13">
        <v>2</v>
      </c>
      <c r="F12" s="12">
        <v>0</v>
      </c>
      <c r="H12" s="15"/>
      <c r="I12" s="15"/>
      <c r="J12" s="15"/>
    </row>
    <row r="13" s="1" customFormat="1" ht="15" customHeight="1" spans="1:10">
      <c r="A13" s="11" t="s">
        <v>254</v>
      </c>
      <c r="B13" s="13">
        <v>121</v>
      </c>
      <c r="C13" s="13">
        <v>91</v>
      </c>
      <c r="D13" s="13">
        <v>30</v>
      </c>
      <c r="E13" s="13">
        <v>0.8</v>
      </c>
      <c r="F13" s="13">
        <v>3</v>
      </c>
    </row>
    <row r="14" s="1" customFormat="1" ht="15" customHeight="1" spans="1:10">
      <c r="A14" s="11" t="s">
        <v>255</v>
      </c>
      <c r="B14" s="13">
        <v>87</v>
      </c>
      <c r="C14" s="13">
        <v>62</v>
      </c>
      <c r="D14" s="13">
        <v>25</v>
      </c>
      <c r="E14" s="13">
        <v>0.4</v>
      </c>
      <c r="F14" s="13">
        <v>1.2</v>
      </c>
    </row>
    <row r="15" s="1" customFormat="1" ht="15" customHeight="1" spans="1:10">
      <c r="A15" s="11" t="s">
        <v>256</v>
      </c>
      <c r="B15" s="13">
        <v>1553</v>
      </c>
      <c r="C15" s="13">
        <v>1001</v>
      </c>
      <c r="D15" s="13">
        <v>552</v>
      </c>
      <c r="E15" s="13">
        <v>0.16</v>
      </c>
      <c r="F15" s="13">
        <v>11</v>
      </c>
    </row>
    <row r="16" s="1" customFormat="1" ht="15" customHeight="1" spans="1:10">
      <c r="A16" s="11" t="s">
        <v>257</v>
      </c>
      <c r="B16" s="13">
        <v>1761</v>
      </c>
      <c r="C16" s="13">
        <v>1154</v>
      </c>
      <c r="D16" s="13">
        <v>607</v>
      </c>
      <c r="E16" s="13"/>
      <c r="F16" s="13">
        <v>15.3</v>
      </c>
    </row>
    <row r="17" s="1" customFormat="1" ht="15" customHeight="1" spans="1:10">
      <c r="B17" s="2"/>
      <c r="F17" s="2"/>
    </row>
    <row r="18" s="1" customFormat="1" ht="15" customHeight="1" spans="1:10">
      <c r="A18" s="20" t="s">
        <v>259</v>
      </c>
      <c r="B18" s="8"/>
      <c r="C18" s="8"/>
      <c r="D18" s="8"/>
      <c r="E18" s="8"/>
      <c r="F18" s="8"/>
      <c r="G18" s="1"/>
      <c r="H18" s="20" t="s">
        <v>260</v>
      </c>
      <c r="I18" s="8"/>
      <c r="J18" s="8"/>
    </row>
    <row r="19" s="1" customFormat="1" ht="15" customHeight="1" spans="1:10">
      <c r="A19" s="7" t="s">
        <v>261</v>
      </c>
      <c r="B19" s="8">
        <v>1177</v>
      </c>
      <c r="C19" s="8"/>
      <c r="D19" s="8"/>
      <c r="E19" s="8"/>
      <c r="F19" s="8"/>
      <c r="G19" s="1"/>
      <c r="H19" s="7" t="s">
        <v>262</v>
      </c>
      <c r="I19" s="8">
        <f>SUM(B2,B19,B34,B52)</f>
        <v>8793</v>
      </c>
      <c r="J19" s="8"/>
    </row>
    <row r="20" s="1" customFormat="1" ht="15" customHeight="1" spans="1:10">
      <c r="A20" s="9" t="s">
        <v>247</v>
      </c>
      <c r="B20" s="10"/>
      <c r="C20" s="10"/>
      <c r="D20" s="10"/>
      <c r="E20" s="10"/>
      <c r="F20" s="10"/>
      <c r="G20" s="1"/>
      <c r="H20" s="9" t="s">
        <v>247</v>
      </c>
      <c r="I20" s="21"/>
      <c r="J20" s="21">
        <f>SUM(B9,B25,B40,B52)</f>
        <v>5808</v>
      </c>
    </row>
    <row r="21" s="1" customFormat="1" ht="15" customHeight="1" spans="1:10">
      <c r="A21" s="11" t="s">
        <v>248</v>
      </c>
      <c r="B21" s="12" t="s">
        <v>249</v>
      </c>
      <c r="C21" s="12" t="s">
        <v>250</v>
      </c>
      <c r="D21" s="12" t="s">
        <v>222</v>
      </c>
      <c r="E21" s="12" t="s">
        <v>251</v>
      </c>
      <c r="F21" s="12" t="s">
        <v>252</v>
      </c>
      <c r="H21" s="11" t="s">
        <v>263</v>
      </c>
      <c r="I21" s="12" t="s">
        <v>264</v>
      </c>
      <c r="J21" s="12" t="s">
        <v>265</v>
      </c>
    </row>
    <row r="22" s="1" customFormat="1" ht="15" customHeight="1" spans="1:10">
      <c r="A22" s="11" t="s">
        <v>254</v>
      </c>
      <c r="B22" s="13">
        <v>38</v>
      </c>
      <c r="C22" s="13">
        <v>1</v>
      </c>
      <c r="D22" s="13">
        <v>37</v>
      </c>
      <c r="E22" s="13">
        <v>3.5</v>
      </c>
      <c r="F22" s="13">
        <v>16.2</v>
      </c>
      <c r="G22" s="1"/>
      <c r="H22" s="11" t="s">
        <v>244</v>
      </c>
      <c r="I22" s="13">
        <v>15.3</v>
      </c>
      <c r="J22" s="13">
        <v>43.6</v>
      </c>
    </row>
    <row r="23" s="1" customFormat="1" ht="15" customHeight="1" spans="1:10">
      <c r="A23" s="11" t="s">
        <v>255</v>
      </c>
      <c r="B23" s="13">
        <v>89</v>
      </c>
      <c r="C23" s="13">
        <v>13</v>
      </c>
      <c r="D23" s="13">
        <v>76</v>
      </c>
      <c r="E23" s="13">
        <v>1</v>
      </c>
      <c r="F23" s="13">
        <v>9</v>
      </c>
      <c r="G23" s="1"/>
      <c r="H23" s="11" t="s">
        <v>259</v>
      </c>
      <c r="I23" s="13">
        <v>32.7</v>
      </c>
      <c r="J23" s="13">
        <v>38.1</v>
      </c>
    </row>
    <row r="24" s="1" customFormat="1" ht="15" customHeight="1" spans="1:10">
      <c r="A24" s="11" t="s">
        <v>256</v>
      </c>
      <c r="B24" s="13">
        <v>459</v>
      </c>
      <c r="C24" s="13">
        <v>115</v>
      </c>
      <c r="D24" s="13">
        <v>344</v>
      </c>
      <c r="E24" s="13">
        <v>0.3</v>
      </c>
      <c r="F24" s="13">
        <v>12.9</v>
      </c>
      <c r="H24" s="11" t="s">
        <v>266</v>
      </c>
      <c r="I24" s="13">
        <v>1.5</v>
      </c>
      <c r="J24" s="13">
        <v>3</v>
      </c>
    </row>
    <row r="25" s="1" customFormat="1" ht="15" customHeight="1" spans="1:10">
      <c r="A25" s="11" t="s">
        <v>257</v>
      </c>
      <c r="B25" s="13">
        <v>586</v>
      </c>
      <c r="C25" s="13">
        <v>129</v>
      </c>
      <c r="D25" s="13">
        <v>457</v>
      </c>
      <c r="E25" s="14"/>
      <c r="F25" s="13">
        <v>38.1</v>
      </c>
      <c r="H25" s="22" t="s">
        <v>267</v>
      </c>
      <c r="I25" s="23">
        <v>27.4</v>
      </c>
      <c r="J25" s="23">
        <v>43.53</v>
      </c>
    </row>
    <row r="26" s="1" customFormat="1" ht="15" customHeight="1" spans="1:10">
      <c r="A26" s="16" t="s">
        <v>258</v>
      </c>
      <c r="B26" s="17"/>
      <c r="C26" s="24"/>
      <c r="D26" s="25"/>
      <c r="E26" s="25"/>
      <c r="F26" s="25"/>
      <c r="H26" s="26"/>
      <c r="I26" s="27"/>
      <c r="J26" s="27"/>
    </row>
    <row r="27" s="1" customFormat="1" ht="15" customHeight="1" spans="1:10">
      <c r="A27" s="11" t="s">
        <v>248</v>
      </c>
      <c r="B27" s="12" t="s">
        <v>249</v>
      </c>
      <c r="C27" s="12" t="s">
        <v>250</v>
      </c>
      <c r="D27" s="12" t="s">
        <v>222</v>
      </c>
      <c r="E27" s="12" t="s">
        <v>251</v>
      </c>
      <c r="F27" s="12" t="s">
        <v>252</v>
      </c>
      <c r="H27" s="11" t="s">
        <v>257</v>
      </c>
      <c r="I27" s="13">
        <f>SUM(I22:I26)</f>
        <v>76.9</v>
      </c>
      <c r="J27" s="13">
        <f>SUM(J22:J26)</f>
        <v>128.23</v>
      </c>
    </row>
    <row r="28" s="1" customFormat="1" ht="15" customHeight="1" spans="1:10">
      <c r="A28" s="11" t="s">
        <v>254</v>
      </c>
      <c r="B28" s="13">
        <v>34</v>
      </c>
      <c r="C28" s="13">
        <v>0</v>
      </c>
      <c r="D28" s="13">
        <v>34</v>
      </c>
      <c r="E28" s="13">
        <v>3.5</v>
      </c>
      <c r="F28" s="13">
        <v>14.9</v>
      </c>
    </row>
    <row r="29" s="1" customFormat="1" ht="15" customHeight="1" spans="1:10">
      <c r="A29" s="11" t="s">
        <v>255</v>
      </c>
      <c r="B29" s="13">
        <v>75</v>
      </c>
      <c r="C29" s="13">
        <v>12</v>
      </c>
      <c r="D29" s="13">
        <v>63</v>
      </c>
      <c r="E29" s="13">
        <v>1</v>
      </c>
      <c r="F29" s="13">
        <v>7</v>
      </c>
    </row>
    <row r="30" s="1" customFormat="1" ht="15" customHeight="1" spans="1:10">
      <c r="A30" s="11" t="s">
        <v>256</v>
      </c>
      <c r="B30" s="13">
        <v>378</v>
      </c>
      <c r="C30" s="13">
        <v>89</v>
      </c>
      <c r="D30" s="13">
        <v>289</v>
      </c>
      <c r="E30" s="13">
        <v>0.3</v>
      </c>
      <c r="F30" s="13">
        <v>10.8</v>
      </c>
    </row>
    <row r="31" s="1" customFormat="1" ht="15" customHeight="1" spans="1:10">
      <c r="A31" s="11" t="s">
        <v>257</v>
      </c>
      <c r="B31" s="13">
        <v>487</v>
      </c>
      <c r="C31" s="13">
        <v>101</v>
      </c>
      <c r="D31" s="13">
        <v>386</v>
      </c>
      <c r="E31" s="13"/>
      <c r="F31" s="13">
        <v>32.7</v>
      </c>
    </row>
    <row r="32" s="1" customFormat="1" ht="15" customHeight="1" spans="1:10">
      <c r="B32" s="2"/>
      <c r="C32" s="1"/>
      <c r="F32" s="2"/>
    </row>
    <row r="33" s="1" customFormat="1" ht="15" customHeight="1" spans="1:6">
      <c r="A33" s="20" t="s">
        <v>266</v>
      </c>
      <c r="B33" s="8"/>
      <c r="C33" s="8"/>
      <c r="D33" s="8"/>
      <c r="E33" s="8"/>
      <c r="F33" s="8"/>
    </row>
    <row r="34" s="1" customFormat="1" ht="15" customHeight="1" spans="1:6">
      <c r="A34" s="7" t="s">
        <v>268</v>
      </c>
      <c r="B34" s="8">
        <v>419</v>
      </c>
      <c r="C34" s="8"/>
      <c r="D34" s="8"/>
      <c r="E34" s="8"/>
      <c r="F34" s="8"/>
    </row>
    <row r="35" s="1" customFormat="1" ht="15" customHeight="1" spans="1:6">
      <c r="A35" s="9" t="s">
        <v>247</v>
      </c>
      <c r="B35" s="10"/>
      <c r="C35" s="10"/>
      <c r="D35" s="10"/>
      <c r="E35" s="10"/>
      <c r="F35" s="10"/>
    </row>
    <row r="36" s="1" customFormat="1" ht="15" customHeight="1" spans="1:6">
      <c r="A36" s="11" t="s">
        <v>248</v>
      </c>
      <c r="B36" s="12" t="s">
        <v>249</v>
      </c>
      <c r="C36" s="12" t="s">
        <v>250</v>
      </c>
      <c r="D36" s="12" t="s">
        <v>222</v>
      </c>
      <c r="E36" s="12" t="s">
        <v>251</v>
      </c>
      <c r="F36" s="12" t="s">
        <v>252</v>
      </c>
    </row>
    <row r="37" s="1" customFormat="1" ht="15" customHeight="1" spans="1:6">
      <c r="A37" s="11" t="s">
        <v>254</v>
      </c>
      <c r="B37" s="13">
        <v>3</v>
      </c>
      <c r="C37" s="13">
        <v>3</v>
      </c>
      <c r="D37" s="13">
        <v>0</v>
      </c>
      <c r="E37" s="13">
        <v>8</v>
      </c>
      <c r="F37" s="13">
        <v>0</v>
      </c>
    </row>
    <row r="38" s="1" customFormat="1" ht="15" customHeight="1" spans="1:6">
      <c r="A38" s="11" t="s">
        <v>255</v>
      </c>
      <c r="B38" s="13">
        <v>76</v>
      </c>
      <c r="C38" s="13">
        <v>72</v>
      </c>
      <c r="D38" s="13">
        <v>4</v>
      </c>
      <c r="E38" s="13">
        <v>4</v>
      </c>
      <c r="F38" s="13">
        <v>2</v>
      </c>
    </row>
    <row r="39" s="1" customFormat="1" ht="15" customHeight="1" spans="1:6">
      <c r="A39" s="11" t="s">
        <v>256</v>
      </c>
      <c r="B39" s="13">
        <v>206</v>
      </c>
      <c r="C39" s="13">
        <v>206</v>
      </c>
      <c r="D39" s="13">
        <v>0</v>
      </c>
      <c r="E39" s="13">
        <v>1.6</v>
      </c>
      <c r="F39" s="13">
        <v>0</v>
      </c>
    </row>
    <row r="40" s="1" customFormat="1" ht="15" customHeight="1" spans="1:6">
      <c r="A40" s="11" t="s">
        <v>257</v>
      </c>
      <c r="B40" s="13">
        <v>285</v>
      </c>
      <c r="C40" s="13">
        <v>281</v>
      </c>
      <c r="D40" s="13">
        <v>4</v>
      </c>
      <c r="E40" s="13"/>
      <c r="F40" s="13">
        <v>3</v>
      </c>
    </row>
    <row r="41" s="1" customFormat="1" ht="15" customHeight="1" spans="1:6">
      <c r="A41" s="16" t="s">
        <v>269</v>
      </c>
      <c r="B41" s="17"/>
      <c r="C41" s="24"/>
      <c r="D41" s="25"/>
      <c r="E41" s="25"/>
      <c r="F41" s="25"/>
    </row>
    <row r="42" s="1" customFormat="1" ht="15" customHeight="1" spans="1:6">
      <c r="A42" s="11" t="s">
        <v>248</v>
      </c>
      <c r="B42" s="12" t="s">
        <v>249</v>
      </c>
      <c r="C42" s="12" t="s">
        <v>250</v>
      </c>
      <c r="D42" s="12" t="s">
        <v>222</v>
      </c>
      <c r="E42" s="12" t="s">
        <v>251</v>
      </c>
      <c r="F42" s="12" t="s">
        <v>252</v>
      </c>
    </row>
    <row r="43" s="1" customFormat="1" ht="15" customHeight="1" spans="1:6">
      <c r="A43" s="11" t="s">
        <v>254</v>
      </c>
      <c r="B43" s="13">
        <v>2</v>
      </c>
      <c r="C43" s="13">
        <v>2</v>
      </c>
      <c r="D43" s="13">
        <v>0</v>
      </c>
      <c r="E43" s="13">
        <v>8</v>
      </c>
      <c r="F43" s="13">
        <v>0</v>
      </c>
    </row>
    <row r="44" s="1" customFormat="1" ht="15" customHeight="1" spans="1:6">
      <c r="A44" s="11" t="s">
        <v>255</v>
      </c>
      <c r="B44" s="13">
        <v>54</v>
      </c>
      <c r="C44" s="13">
        <v>53</v>
      </c>
      <c r="D44" s="13">
        <v>1</v>
      </c>
      <c r="E44" s="13">
        <v>4</v>
      </c>
      <c r="F44" s="13">
        <v>0.5</v>
      </c>
    </row>
    <row r="45" s="1" customFormat="1" ht="15" customHeight="1" spans="1:6">
      <c r="A45" s="11" t="s">
        <v>256</v>
      </c>
      <c r="B45" s="13">
        <v>162</v>
      </c>
      <c r="C45" s="13">
        <v>162</v>
      </c>
      <c r="D45" s="13">
        <v>0</v>
      </c>
      <c r="E45" s="13">
        <v>1.6</v>
      </c>
      <c r="F45" s="13">
        <v>0</v>
      </c>
    </row>
    <row r="46" s="1" customFormat="1" ht="15" customHeight="1" spans="1:6">
      <c r="A46" s="11" t="s">
        <v>257</v>
      </c>
      <c r="B46" s="13">
        <v>218</v>
      </c>
      <c r="C46" s="13">
        <v>217</v>
      </c>
      <c r="D46" s="13">
        <v>1</v>
      </c>
      <c r="E46" s="13"/>
      <c r="F46" s="13">
        <v>1.5</v>
      </c>
    </row>
    <row r="47" s="1" customFormat="1" spans="1:6">
      <c r="A47" s="28" t="s">
        <v>270</v>
      </c>
      <c r="B47" s="28"/>
      <c r="C47" s="28"/>
      <c r="D47" s="28"/>
      <c r="E47" s="28"/>
      <c r="F47" s="28"/>
    </row>
    <row r="48" s="1" customFormat="1" spans="1:6">
      <c r="A48" s="29"/>
      <c r="B48" s="29"/>
      <c r="C48" s="29"/>
      <c r="D48" s="29"/>
      <c r="E48" s="29"/>
      <c r="F48" s="29"/>
    </row>
    <row r="49" s="1" customFormat="1" ht="22" customHeight="1" spans="1:6">
      <c r="A49" s="20" t="s">
        <v>267</v>
      </c>
      <c r="B49" s="8"/>
      <c r="C49" s="8"/>
      <c r="D49" s="8"/>
      <c r="E49" s="2"/>
      <c r="F49" s="2"/>
    </row>
    <row r="50" s="1" customFormat="1" ht="120" customHeight="1" spans="1:6">
      <c r="A50" s="30" t="s">
        <v>271</v>
      </c>
      <c r="B50" s="30"/>
      <c r="C50" s="30"/>
      <c r="D50" s="30"/>
      <c r="E50" s="2"/>
      <c r="F50" s="2"/>
    </row>
    <row r="51" s="1" customFormat="1" spans="1:6">
      <c r="A51" s="31" t="s">
        <v>272</v>
      </c>
      <c r="B51" s="32" t="s">
        <v>244</v>
      </c>
      <c r="C51" s="33" t="s">
        <v>273</v>
      </c>
      <c r="D51" s="33" t="s">
        <v>274</v>
      </c>
      <c r="F51" s="2"/>
    </row>
    <row r="52" s="1" customFormat="1" spans="1:6">
      <c r="A52" s="11" t="s">
        <v>275</v>
      </c>
      <c r="B52" s="13">
        <v>1741</v>
      </c>
      <c r="C52" s="13">
        <v>0.2</v>
      </c>
      <c r="D52" s="13">
        <v>43.53</v>
      </c>
      <c r="F52" s="2"/>
    </row>
    <row r="53" s="1" customFormat="1" spans="1:6">
      <c r="A53" s="11" t="s">
        <v>276</v>
      </c>
      <c r="B53" s="13">
        <v>1096</v>
      </c>
      <c r="C53" s="13">
        <v>0.2</v>
      </c>
      <c r="D53" s="13">
        <v>27.4</v>
      </c>
      <c r="F53" s="2"/>
    </row>
    <row r="54" s="1" customFormat="1" spans="1:6">
      <c r="B54" s="2"/>
      <c r="C54" s="1"/>
      <c r="D54" s="1"/>
      <c r="E54" s="1"/>
      <c r="F54" s="2"/>
    </row>
    <row r="55" s="1" customFormat="1" spans="1:6">
      <c r="B55" s="2"/>
      <c r="C55" s="1"/>
      <c r="D55" s="1"/>
      <c r="E55" s="1"/>
      <c r="F55" s="2"/>
    </row>
    <row r="56" s="1" customFormat="1" spans="1:6">
      <c r="B56" s="2"/>
      <c r="C56" s="1"/>
      <c r="D56" s="1"/>
      <c r="E56" s="1"/>
      <c r="F56" s="2"/>
    </row>
    <row r="57" s="1" customFormat="1" spans="1:6">
      <c r="B57" s="2"/>
      <c r="F57" s="2"/>
    </row>
    <row r="58" s="1" customFormat="1" spans="1:6">
      <c r="B58" s="2"/>
      <c r="C58" s="1"/>
      <c r="D58" s="1"/>
      <c r="F58" s="2"/>
    </row>
    <row r="59" s="1" customFormat="1" spans="1:6">
      <c r="B59" s="2"/>
      <c r="C59" s="1"/>
      <c r="D59" s="1"/>
      <c r="F59" s="2"/>
    </row>
    <row r="60" s="1" customFormat="1" spans="1:6">
      <c r="B60" s="2"/>
      <c r="C60" s="1"/>
      <c r="D60" s="1"/>
      <c r="F60" s="2"/>
    </row>
    <row r="61" s="1" customFormat="1" spans="1:6">
      <c r="B61" s="2"/>
      <c r="F61" s="2"/>
    </row>
    <row r="62" s="1" customFormat="1" spans="1:6">
      <c r="B62" s="2"/>
      <c r="C62" s="1"/>
      <c r="D62" s="1"/>
      <c r="E62" s="1"/>
      <c r="F62" s="2"/>
    </row>
    <row r="63" s="1" customFormat="1" spans="1:6">
      <c r="B63" s="2"/>
      <c r="C63" s="1"/>
      <c r="D63" s="1"/>
      <c r="E63" s="1"/>
      <c r="F63" s="2"/>
    </row>
    <row r="64" s="1" customFormat="1" spans="1:6">
      <c r="B64" s="2"/>
      <c r="C64" s="1"/>
      <c r="F64" s="2"/>
    </row>
    <row r="65" s="1" customFormat="1" spans="2:6">
      <c r="B65" s="2"/>
      <c r="C65" s="1"/>
      <c r="F65" s="2"/>
    </row>
    <row r="66" s="1" customFormat="1" spans="2:6">
      <c r="B66" s="2"/>
      <c r="C66" s="1"/>
      <c r="F66" s="2"/>
    </row>
    <row r="67" s="1" customFormat="1" spans="2:6">
      <c r="B67" s="2"/>
      <c r="C67" s="1"/>
      <c r="D67" s="1"/>
      <c r="F67" s="2"/>
    </row>
    <row r="68" s="1" customFormat="1" spans="2:6">
      <c r="B68" s="2"/>
      <c r="C68" s="1"/>
      <c r="D68" s="1"/>
      <c r="F68" s="2"/>
    </row>
    <row r="69" s="1" customFormat="1" spans="2:6">
      <c r="B69" s="2"/>
      <c r="C69" s="1"/>
      <c r="D69" s="1"/>
      <c r="F69" s="2"/>
    </row>
    <row r="71" s="1" customFormat="1" spans="2:6">
      <c r="B71" s="2"/>
      <c r="F71" s="2"/>
    </row>
    <row r="72" s="1" customFormat="1" spans="2:6">
      <c r="B72" s="2"/>
      <c r="F72" s="2"/>
    </row>
    <row r="73" s="1" customFormat="1" spans="2:6">
      <c r="B73" s="2"/>
      <c r="F73" s="2"/>
    </row>
  </sheetData>
  <mergeCells count="17">
    <mergeCell ref="A1:F1"/>
    <mergeCell ref="A3:F3"/>
    <mergeCell ref="A10:B10"/>
    <mergeCell ref="A18:F18"/>
    <mergeCell ref="H18:J18"/>
    <mergeCell ref="A20:F20"/>
    <mergeCell ref="A26:B26"/>
    <mergeCell ref="A33:F33"/>
    <mergeCell ref="A35:F35"/>
    <mergeCell ref="A41:B41"/>
    <mergeCell ref="A47:F47"/>
    <mergeCell ref="A49:D49"/>
    <mergeCell ref="A50:D50"/>
    <mergeCell ref="H25:H26"/>
    <mergeCell ref="I25:I26"/>
    <mergeCell ref="J25:J26"/>
    <mergeCell ref="H1:J8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E10升级计划</vt:lpstr>
      <vt:lpstr>功能数据总览</vt:lpstr>
      <vt:lpstr>开发功能总览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　　　</cp:lastModifiedBy>
  <dcterms:created xsi:type="dcterms:W3CDTF">2015-06-05T18:19:00Z</dcterms:created>
  <dcterms:modified xsi:type="dcterms:W3CDTF">2025-12-29T02:28:17Z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DDA3D092FD154F7BA749B6667F69D65F_13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